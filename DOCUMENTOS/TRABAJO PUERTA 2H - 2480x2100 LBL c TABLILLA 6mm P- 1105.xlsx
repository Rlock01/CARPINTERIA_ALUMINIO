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05" yWindow="-105" windowWidth="23250" windowHeight="12450" tabRatio="744" activeTab="1"/>
  </bookViews>
  <sheets>
    <sheet name="IMAGEN" sheetId="9" r:id="rId1"/>
    <sheet name="Ficha de costo (Resumen)" sheetId="1" r:id="rId2"/>
    <sheet name="Consumo Material" sheetId="2" r:id="rId3"/>
    <sheet name="Salarios Directos " sheetId="3" r:id="rId4"/>
    <sheet name="Coeficientes(Gastos Indirectos)" sheetId="4" r:id="rId5"/>
    <sheet name="Desglose Salario" sheetId="5" r:id="rId6"/>
    <sheet name="Gastos Financieros " sheetId="6" r:id="rId7"/>
    <sheet name="Otros Gastos Directos " sheetId="7" r:id="rId8"/>
  </sheets>
  <definedNames>
    <definedName name="_xlnm.Print_Area" localSheetId="5">'Desglose Salario'!$A$1:$J$33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2" l="1"/>
  <c r="I16" i="2"/>
  <c r="J16" i="2" s="1"/>
  <c r="E16" i="2" s="1"/>
  <c r="F16" i="2" s="1"/>
  <c r="H33" i="2" l="1"/>
  <c r="D30" i="1" l="1"/>
  <c r="D30" i="3"/>
  <c r="D31" i="1" l="1"/>
  <c r="D31" i="3"/>
  <c r="I32" i="2" l="1"/>
  <c r="J32" i="2" s="1"/>
  <c r="K33" i="2" s="1"/>
  <c r="M39" i="2"/>
  <c r="H15" i="2"/>
  <c r="I15" i="2"/>
  <c r="J15" i="2"/>
  <c r="E15" i="2" s="1"/>
  <c r="T16" i="5"/>
  <c r="T17" i="5" s="1"/>
  <c r="S16" i="5"/>
  <c r="S17" i="5" s="1"/>
  <c r="R16" i="5"/>
  <c r="R17" i="5" s="1"/>
  <c r="Q16" i="5"/>
  <c r="Q17" i="5" s="1"/>
  <c r="P16" i="5"/>
  <c r="P17" i="5" s="1"/>
  <c r="O16" i="5"/>
  <c r="O17" i="5" s="1"/>
  <c r="J19" i="5"/>
  <c r="J20" i="5"/>
  <c r="D43" i="3" l="1"/>
  <c r="D45" i="2"/>
  <c r="E45" i="2" s="1"/>
  <c r="F45" i="2" s="1"/>
  <c r="I14" i="2"/>
  <c r="J14" i="2" s="1"/>
  <c r="E14" i="2" s="1"/>
  <c r="I17" i="2"/>
  <c r="J17" i="2" s="1"/>
  <c r="E17" i="2" s="1"/>
  <c r="I13" i="2"/>
  <c r="J13" i="2" s="1"/>
  <c r="E13" i="2" s="1"/>
  <c r="E43" i="3" l="1"/>
  <c r="F43" i="3" s="1"/>
  <c r="O29" i="2"/>
  <c r="H28" i="2"/>
  <c r="E28" i="2" s="1"/>
  <c r="F28" i="2" s="1"/>
  <c r="H29" i="2"/>
  <c r="E29" i="2" s="1"/>
  <c r="F29" i="2" s="1"/>
  <c r="H30" i="2"/>
  <c r="E30" i="2" s="1"/>
  <c r="F30" i="2" s="1"/>
  <c r="H31" i="2"/>
  <c r="E31" i="2" s="1"/>
  <c r="H34" i="2"/>
  <c r="R20" i="2"/>
  <c r="R19" i="2"/>
  <c r="N19" i="2"/>
  <c r="N21" i="2" s="1"/>
  <c r="H19" i="2"/>
  <c r="E19" i="2" s="1"/>
  <c r="F19" i="2" s="1"/>
  <c r="H20" i="2"/>
  <c r="E20" i="2" s="1"/>
  <c r="F20" i="2" s="1"/>
  <c r="H21" i="2"/>
  <c r="E21" i="2" s="1"/>
  <c r="F21" i="2" s="1"/>
  <c r="H22" i="2"/>
  <c r="E22" i="2" s="1"/>
  <c r="H23" i="2"/>
  <c r="E23" i="2" s="1"/>
  <c r="H24" i="2"/>
  <c r="E24" i="2" s="1"/>
  <c r="H25" i="2"/>
  <c r="E25" i="2" s="1"/>
  <c r="F25" i="2" s="1"/>
  <c r="H26" i="2"/>
  <c r="E26" i="2" s="1"/>
  <c r="F26" i="2" s="1"/>
  <c r="H27" i="2"/>
  <c r="E27" i="2" s="1"/>
  <c r="F13" i="2"/>
  <c r="H17" i="2"/>
  <c r="H14" i="2"/>
  <c r="H13" i="2"/>
  <c r="K6" i="2"/>
  <c r="J6" i="2"/>
  <c r="F18" i="2"/>
  <c r="J18" i="5"/>
  <c r="J17" i="5"/>
  <c r="H17" i="5"/>
  <c r="J16" i="5"/>
  <c r="H16" i="5"/>
  <c r="J15" i="5"/>
  <c r="H15" i="5"/>
  <c r="J14" i="5"/>
  <c r="H14" i="5"/>
  <c r="J13" i="5"/>
  <c r="H13" i="5"/>
  <c r="J12" i="5"/>
  <c r="H12" i="5"/>
  <c r="J11" i="5"/>
  <c r="H11" i="5"/>
  <c r="F31" i="2" l="1"/>
  <c r="R21" i="2"/>
  <c r="O24" i="2" s="1"/>
  <c r="P24" i="2" s="1"/>
  <c r="K7" i="2"/>
  <c r="F15" i="2" s="1"/>
  <c r="F17" i="2"/>
  <c r="J29" i="5"/>
  <c r="N22" i="2"/>
  <c r="S25" i="2" s="1"/>
  <c r="F41" i="1"/>
  <c r="B7" i="7" s="1"/>
  <c r="J36" i="2"/>
  <c r="J49" i="2"/>
  <c r="F14" i="2"/>
  <c r="F27" i="2"/>
  <c r="F23" i="2"/>
  <c r="F22" i="2"/>
  <c r="F24" i="2"/>
  <c r="E36" i="2"/>
  <c r="G5" i="7" l="1"/>
  <c r="O26" i="2"/>
  <c r="P26" i="2" s="1"/>
  <c r="S24" i="2"/>
  <c r="F40" i="2"/>
  <c r="C15" i="1" l="1"/>
  <c r="T30" i="2"/>
  <c r="D43" i="2" s="1"/>
  <c r="T29" i="2"/>
  <c r="D42" i="2" s="1"/>
  <c r="T26" i="2"/>
  <c r="E42" i="2" s="1"/>
  <c r="I22" i="5"/>
  <c r="F36" i="2" l="1"/>
  <c r="F38" i="2" s="1"/>
  <c r="C5" i="7"/>
  <c r="C13" i="7" s="1"/>
  <c r="B5" i="7"/>
  <c r="B13" i="7" s="1"/>
  <c r="C19" i="1" s="1"/>
  <c r="D29" i="6"/>
  <c r="C30" i="1" s="1"/>
  <c r="C29" i="6"/>
  <c r="B29" i="6"/>
  <c r="E14" i="3"/>
  <c r="C18" i="1" s="1"/>
  <c r="F41" i="2"/>
  <c r="E39" i="2"/>
  <c r="I42" i="2" l="1"/>
  <c r="F42" i="2" s="1"/>
  <c r="I36" i="2"/>
  <c r="K36" i="2" s="1"/>
  <c r="F39" i="2"/>
  <c r="E44" i="2"/>
  <c r="E49" i="2" s="1"/>
  <c r="C16" i="1"/>
  <c r="C37" i="4"/>
  <c r="C14" i="1" l="1"/>
  <c r="F44" i="2"/>
  <c r="F49" i="2" s="1"/>
  <c r="C13" i="3"/>
  <c r="C34" i="3" s="1"/>
  <c r="C32" i="4"/>
  <c r="C23" i="4"/>
  <c r="C16" i="4"/>
  <c r="E16" i="4" s="1"/>
  <c r="C12" i="4"/>
  <c r="C31" i="4"/>
  <c r="C27" i="4"/>
  <c r="C22" i="4"/>
  <c r="C18" i="4"/>
  <c r="C30" i="4"/>
  <c r="C21" i="4"/>
  <c r="C15" i="4"/>
  <c r="E15" i="4" s="1"/>
  <c r="C13" i="4"/>
  <c r="E13" i="4" s="1"/>
  <c r="C11" i="4"/>
  <c r="E11" i="4" s="1"/>
  <c r="C9" i="4"/>
  <c r="C33" i="4"/>
  <c r="C29" i="4"/>
  <c r="C24" i="4"/>
  <c r="C20" i="4"/>
  <c r="C28" i="4"/>
  <c r="C19" i="4"/>
  <c r="C14" i="4"/>
  <c r="E14" i="4" s="1"/>
  <c r="C10" i="4"/>
  <c r="I49" i="2" l="1"/>
  <c r="K49" i="2" s="1"/>
  <c r="C13" i="1"/>
  <c r="C12" i="1" s="1"/>
  <c r="E13" i="3"/>
  <c r="E34" i="3" s="1"/>
  <c r="C17" i="4"/>
  <c r="C21" i="1"/>
  <c r="E12" i="4"/>
  <c r="C25" i="1"/>
  <c r="C28" i="1"/>
  <c r="C26" i="1"/>
  <c r="C29" i="1"/>
  <c r="C22" i="1"/>
  <c r="E10" i="4"/>
  <c r="E9" i="4"/>
  <c r="C8" i="4"/>
  <c r="C26" i="4"/>
  <c r="C17" i="1" l="1"/>
  <c r="C34" i="1" s="1"/>
  <c r="C41" i="4"/>
  <c r="C24" i="1"/>
  <c r="C39" i="4"/>
  <c r="C35" i="4"/>
  <c r="C20" i="1"/>
  <c r="C27" i="1"/>
  <c r="C40" i="4"/>
  <c r="C23" i="1" l="1"/>
  <c r="C40" i="1" s="1"/>
  <c r="C32" i="1"/>
  <c r="C33" i="1"/>
  <c r="C42" i="4"/>
  <c r="C37" i="1" l="1"/>
  <c r="C38" i="1" s="1"/>
  <c r="E38" i="1" s="1"/>
  <c r="F38" i="1" s="1"/>
  <c r="C41" i="1" l="1"/>
  <c r="E41" i="1" s="1"/>
  <c r="G41" i="1" s="1"/>
  <c r="C42" i="1" l="1"/>
  <c r="C43" i="1" s="1"/>
  <c r="H42" i="1" l="1"/>
  <c r="D43" i="1"/>
  <c r="E43" i="1" s="1"/>
  <c r="F43" i="1" s="1"/>
  <c r="G43" i="1" l="1"/>
</calcChain>
</file>

<file path=xl/sharedStrings.xml><?xml version="1.0" encoding="utf-8"?>
<sst xmlns="http://schemas.openxmlformats.org/spreadsheetml/2006/main" count="380" uniqueCount="290">
  <si>
    <t>CONCEPTOS</t>
  </si>
  <si>
    <t>Fila</t>
  </si>
  <si>
    <t>TOTAL</t>
  </si>
  <si>
    <t>Salarios</t>
  </si>
  <si>
    <t>Otros Gastos Directos</t>
  </si>
  <si>
    <t>Gastos asociados a la Producción</t>
  </si>
  <si>
    <t>Gastos Generales y de Administración</t>
  </si>
  <si>
    <t>Gastos de Distribución y Venta</t>
  </si>
  <si>
    <t>Gastos Financieros</t>
  </si>
  <si>
    <t>Contribución a la Seguridad Social</t>
  </si>
  <si>
    <t>Gastos de Seguridad Social a corto plazo</t>
  </si>
  <si>
    <t xml:space="preserve">Impuesto por la Utiliz. de la Fuerza de Trabajo </t>
  </si>
  <si>
    <t>Impuesto Especial a Productos</t>
  </si>
  <si>
    <t>Otros gastos autorizados por el MFP</t>
  </si>
  <si>
    <t>TOTAL DE GASTOS ( suma de la 6 a la 16 )</t>
  </si>
  <si>
    <t>Normativa de Utilidad  a  aplicar</t>
  </si>
  <si>
    <t>Masa de Utilidad   ( 5  x  18  /  100 )</t>
  </si>
  <si>
    <t>P R E C I O  ó  T A R I F A   ( 5 + 17 + 19 )</t>
  </si>
  <si>
    <t>Aprobado por:</t>
  </si>
  <si>
    <t xml:space="preserve">DESAGREGACION DE LOS INSUMOS </t>
  </si>
  <si>
    <t>Confeccionado por:</t>
  </si>
  <si>
    <t>Firma:</t>
  </si>
  <si>
    <t>Descripción de las operaciones</t>
  </si>
  <si>
    <t>Cantidad de trabajadores por operación o actividad</t>
  </si>
  <si>
    <t>Categoría Ocupacional</t>
  </si>
  <si>
    <t>Salario/hora según Categoría y  Grupo</t>
  </si>
  <si>
    <t>Pagos Adicionales por hora</t>
  </si>
  <si>
    <t xml:space="preserve">Norma de tiempo (en horas) </t>
  </si>
  <si>
    <t>Gasto de Salario</t>
  </si>
  <si>
    <t xml:space="preserve">Total </t>
  </si>
  <si>
    <t>Energía</t>
  </si>
  <si>
    <t>Agua</t>
  </si>
  <si>
    <t>MODELO 4 - PROPUESTA DE COEFICIENTES DE GASTOS INDIRECTOS DE PRODUCCIÓN, DISTRIBUCIÓN Y VENTAS Y GENERALES Y DE ADMINISTRACIÓN</t>
  </si>
  <si>
    <t>Concepto de gastos</t>
  </si>
  <si>
    <t xml:space="preserve">Fila </t>
  </si>
  <si>
    <t>Importe de los gastos</t>
  </si>
  <si>
    <t xml:space="preserve">M. N. </t>
  </si>
  <si>
    <t>Divisas</t>
  </si>
  <si>
    <t>Total</t>
  </si>
  <si>
    <t>01</t>
  </si>
  <si>
    <t>Materias primas y materiales</t>
  </si>
  <si>
    <t>02</t>
  </si>
  <si>
    <t>Combustible</t>
  </si>
  <si>
    <t>03</t>
  </si>
  <si>
    <t>04</t>
  </si>
  <si>
    <t>05</t>
  </si>
  <si>
    <t>Otros gastos de la fuerza de trabajo</t>
  </si>
  <si>
    <t>06</t>
  </si>
  <si>
    <t>07</t>
  </si>
  <si>
    <t>Otros gastos monetarios</t>
  </si>
  <si>
    <t>08</t>
  </si>
  <si>
    <t>11</t>
  </si>
  <si>
    <t>12</t>
  </si>
  <si>
    <t>13</t>
  </si>
  <si>
    <t>14</t>
  </si>
  <si>
    <t>15</t>
  </si>
  <si>
    <t>16</t>
  </si>
  <si>
    <t>17</t>
  </si>
  <si>
    <t>18</t>
  </si>
  <si>
    <t>21</t>
  </si>
  <si>
    <t>22</t>
  </si>
  <si>
    <t>23</t>
  </si>
  <si>
    <t>24</t>
  </si>
  <si>
    <t>25</t>
  </si>
  <si>
    <t>26</t>
  </si>
  <si>
    <t>27</t>
  </si>
  <si>
    <t>28</t>
  </si>
  <si>
    <t>30</t>
  </si>
  <si>
    <t>Salario básico de los trabajadores directos a la producción</t>
  </si>
  <si>
    <t>31</t>
  </si>
  <si>
    <t>Coeficiente de gastos indirectos de producción</t>
  </si>
  <si>
    <t>32</t>
  </si>
  <si>
    <t>Coeficiente de gastos de distribución y ventas</t>
  </si>
  <si>
    <t>33</t>
  </si>
  <si>
    <t>Coeficiente de gastos generales y de administración</t>
  </si>
  <si>
    <t>34</t>
  </si>
  <si>
    <t>MODELO 3 - DESGLOSE DE LOS GASTOS DE SALARIO DE LOS OBREROS DE LA PRODUCCIÓN Y LOS SERVICIOS</t>
  </si>
  <si>
    <t>PRECIO:</t>
  </si>
  <si>
    <t>UM T</t>
  </si>
  <si>
    <t>Concepto del gasto de salario</t>
  </si>
  <si>
    <t>Salario fijo</t>
  </si>
  <si>
    <t>Salario movil</t>
  </si>
  <si>
    <t>Grupo Escala</t>
  </si>
  <si>
    <t>Unidad de valor: pesos y centavos.                                                                                                Unidad de tiempo: Hora.</t>
  </si>
  <si>
    <t xml:space="preserve">Ministerio de Finanzas y Precios </t>
  </si>
  <si>
    <t>UM</t>
  </si>
  <si>
    <t>Norma de consumo</t>
  </si>
  <si>
    <t>Concepto</t>
  </si>
  <si>
    <t>Total de Otros  gastos directos</t>
  </si>
  <si>
    <t>MODELO 5 - DESGLOSE DE LOS GASTOS FINANCIEROS PROYECTADOS PARA EL AÑO POR CRÉDITOS BANCARIOS</t>
  </si>
  <si>
    <t>ORGANISMO:</t>
  </si>
  <si>
    <t>EMPRESA:</t>
  </si>
  <si>
    <t>Destino del Crédito</t>
  </si>
  <si>
    <t>Gastos financieros</t>
  </si>
  <si>
    <t>Intereses</t>
  </si>
  <si>
    <t>Confeccionado por: (Nombre y Apellidos)</t>
  </si>
  <si>
    <t xml:space="preserve">Cargo:     </t>
  </si>
  <si>
    <t>Aprobado por: (Nombre y Apellidos)</t>
  </si>
  <si>
    <t>COSTO TOTAL ( 1+2+3+4 )</t>
  </si>
  <si>
    <t>Codigo</t>
  </si>
  <si>
    <t>Descripción</t>
  </si>
  <si>
    <t>COSTO PROPUESTO</t>
  </si>
  <si>
    <t>11 (9x10)</t>
  </si>
  <si>
    <t>13(9x12)</t>
  </si>
  <si>
    <t>FECHA</t>
  </si>
  <si>
    <t>Comisiones Bancarias</t>
  </si>
  <si>
    <t xml:space="preserve">Otros  Gastos Directos </t>
  </si>
  <si>
    <t>Sub Total Materias Primas</t>
  </si>
  <si>
    <t>Energía Eléctrica</t>
  </si>
  <si>
    <t>t</t>
  </si>
  <si>
    <t>DESGLOSE  DEL  GASTO  DE “SALARIO DE LOS OBREROS DE LA PRODUCCION Y LOS SERVICIOS”</t>
  </si>
  <si>
    <t>Diesel Combustible Regular</t>
  </si>
  <si>
    <t>MINISTERIO DE FINANZAS Y PRECIOS                                                                                                                                          FICHA PARA PRECIOS O TARIFAS</t>
  </si>
  <si>
    <t xml:space="preserve"> MN:__X________   DIVISA:_________</t>
  </si>
  <si>
    <t>Mwh</t>
  </si>
  <si>
    <t xml:space="preserve">Confeccionado por :                         </t>
  </si>
  <si>
    <t xml:space="preserve">Aprobado por :                                   </t>
  </si>
  <si>
    <r>
      <t>Fecha:</t>
    </r>
    <r>
      <rPr>
        <b/>
        <sz val="10"/>
        <rFont val="Times New Roman"/>
        <family val="1"/>
      </rPr>
      <t xml:space="preserve">             </t>
    </r>
  </si>
  <si>
    <r>
      <t>Fecha:</t>
    </r>
    <r>
      <rPr>
        <b/>
        <sz val="10"/>
        <rFont val="Times New Roman"/>
        <family val="1"/>
      </rPr>
      <t xml:space="preserve">                        </t>
    </r>
  </si>
  <si>
    <t xml:space="preserve">Confeccionado por :                                            </t>
  </si>
  <si>
    <t xml:space="preserve">Aprobado por :                                               </t>
  </si>
  <si>
    <r>
      <t xml:space="preserve">Nombre y Apellidos: </t>
    </r>
    <r>
      <rPr>
        <sz val="11"/>
        <color rgb="FFFF0000"/>
        <rFont val="Times New Roman"/>
        <family val="1"/>
      </rPr>
      <t xml:space="preserve"> </t>
    </r>
    <r>
      <rPr>
        <sz val="11"/>
        <color rgb="FF000000"/>
        <rFont val="Times New Roman"/>
        <family val="1"/>
      </rPr>
      <t xml:space="preserve">                             </t>
    </r>
  </si>
  <si>
    <r>
      <t xml:space="preserve">Nombre y Apellidos: </t>
    </r>
    <r>
      <rPr>
        <sz val="11"/>
        <color rgb="FF000000"/>
        <rFont val="Times New Roman"/>
        <family val="1"/>
      </rPr>
      <t xml:space="preserve">                              </t>
    </r>
  </si>
  <si>
    <t xml:space="preserve">ORGANISMO/EMPRESA: </t>
  </si>
  <si>
    <t xml:space="preserve">CODIGO DEL PRODUCTO O SERVICIO: </t>
  </si>
  <si>
    <r>
      <t xml:space="preserve">UNIDAD DE MEDIDA:   </t>
    </r>
    <r>
      <rPr>
        <b/>
        <sz val="11"/>
        <color rgb="FFFF0000"/>
        <rFont val="Arial"/>
        <family val="2"/>
      </rPr>
      <t xml:space="preserve"> </t>
    </r>
    <r>
      <rPr>
        <b/>
        <sz val="11"/>
        <color rgb="FF000000"/>
        <rFont val="Arial"/>
        <family val="2"/>
      </rPr>
      <t xml:space="preserve">                                                                      CANTIDADES FISICAS: </t>
    </r>
  </si>
  <si>
    <r>
      <t xml:space="preserve">DESCRIPCION DEL PRODUCTO O SERVICIO: </t>
    </r>
    <r>
      <rPr>
        <b/>
        <sz val="10"/>
        <color rgb="FFFF0000"/>
        <rFont val="Times New Roman"/>
        <family val="1"/>
      </rPr>
      <t xml:space="preserve">          </t>
    </r>
  </si>
  <si>
    <t xml:space="preserve">VOLUMEN DE PRODUCCION: </t>
  </si>
  <si>
    <t xml:space="preserve">CODIGO: </t>
  </si>
  <si>
    <t xml:space="preserve">Empresa: </t>
  </si>
  <si>
    <t xml:space="preserve">Descripción del Producto o Servicio: </t>
  </si>
  <si>
    <r>
      <t xml:space="preserve">Código del producto o servicio: </t>
    </r>
    <r>
      <rPr>
        <b/>
        <sz val="11"/>
        <color rgb="FFFF0000"/>
        <rFont val="Times New Roman"/>
        <family val="1"/>
      </rPr>
      <t xml:space="preserve">                                                                           </t>
    </r>
    <r>
      <rPr>
        <sz val="11"/>
        <color rgb="FF000000"/>
        <rFont val="Times New Roman"/>
        <family val="1"/>
      </rPr>
      <t>CANTIDADES FISICA</t>
    </r>
    <r>
      <rPr>
        <sz val="11"/>
        <rFont val="Times New Roman"/>
        <family val="1"/>
      </rPr>
      <t>S</t>
    </r>
    <r>
      <rPr>
        <b/>
        <sz val="11"/>
        <rFont val="Times New Roman"/>
        <family val="1"/>
      </rPr>
      <t xml:space="preserve">: </t>
    </r>
    <r>
      <rPr>
        <b/>
        <sz val="11"/>
        <color rgb="FFFF0000"/>
        <rFont val="Times New Roman"/>
        <family val="1"/>
      </rPr>
      <t xml:space="preserve">                </t>
    </r>
  </si>
  <si>
    <t>Coeficiente de gastos Indirectos Aprobados Resolución 362/2014 MFP</t>
  </si>
  <si>
    <t xml:space="preserve">Cargo: </t>
  </si>
  <si>
    <t>Cargo:</t>
  </si>
  <si>
    <t xml:space="preserve">Cargo:      </t>
  </si>
  <si>
    <t xml:space="preserve">Depreciación </t>
  </si>
  <si>
    <t>Empresa de Antenas</t>
  </si>
  <si>
    <t>Alimentos</t>
  </si>
  <si>
    <t>Arrendamiento de Equipos</t>
  </si>
  <si>
    <t>29</t>
  </si>
  <si>
    <t>Depreciación</t>
  </si>
  <si>
    <t>% utilización capacidad:</t>
  </si>
  <si>
    <t xml:space="preserve">ORGANISMO: </t>
  </si>
  <si>
    <t>Gastos generales y de administración (822)</t>
  </si>
  <si>
    <t>Gastos de distribución y ventas (821)</t>
  </si>
  <si>
    <t>Gastos indirectos de producción (731)</t>
  </si>
  <si>
    <t>Mantenimiento y reparación</t>
  </si>
  <si>
    <t>Importe MN</t>
  </si>
  <si>
    <t>Precio</t>
  </si>
  <si>
    <t xml:space="preserve">CONFECCIONADO  POR: </t>
  </si>
  <si>
    <t>CARGO</t>
  </si>
  <si>
    <t>FIRMA</t>
  </si>
  <si>
    <t>NOMBRE Y APELLIDOS</t>
  </si>
  <si>
    <t xml:space="preserve">APROBADO POR: </t>
  </si>
  <si>
    <t>ORGANISMO: MINDUS</t>
  </si>
  <si>
    <t>O</t>
  </si>
  <si>
    <t>TROQUELADO</t>
  </si>
  <si>
    <t xml:space="preserve">Operario “A” de Equipos Electrónicos y Estructuras   </t>
  </si>
  <si>
    <t>CALADO</t>
  </si>
  <si>
    <t>ENSAMBLE</t>
  </si>
  <si>
    <t>Plan de produccion:</t>
  </si>
  <si>
    <t>Código:</t>
  </si>
  <si>
    <t>Produccion Periodo Ant:</t>
  </si>
  <si>
    <t>Precio de Venta Total:</t>
  </si>
  <si>
    <t>% Margen de Utilidad:</t>
  </si>
  <si>
    <t>Total Unitario:</t>
  </si>
  <si>
    <t>(3)</t>
  </si>
  <si>
    <t>(1)</t>
  </si>
  <si>
    <t>(2)</t>
  </si>
  <si>
    <t xml:space="preserve">MATERIAS PRIMAS Y MATERIALES </t>
  </si>
  <si>
    <t>SALARIOS</t>
  </si>
  <si>
    <t>MATERIAS PRIMAS Y MATERIALES PRINCIPALES</t>
  </si>
  <si>
    <t>U</t>
  </si>
  <si>
    <t>m2</t>
  </si>
  <si>
    <t>Combustibles</t>
  </si>
  <si>
    <t>Gastos por Financiamiento entregado a la OSDE 840</t>
  </si>
  <si>
    <t>Pago de Préstamos (835)</t>
  </si>
  <si>
    <t xml:space="preserve"> Insumos</t>
  </si>
  <si>
    <t>Estimulación</t>
  </si>
  <si>
    <t>Fecha:</t>
  </si>
  <si>
    <t xml:space="preserve">                          De ello: Salarios</t>
  </si>
  <si>
    <t xml:space="preserve">                                         Combustibles</t>
  </si>
  <si>
    <t>6.1</t>
  </si>
  <si>
    <t>6.2</t>
  </si>
  <si>
    <t>Organismo /</t>
  </si>
  <si>
    <t>TOTAL DE COSTOS Y GASTOS</t>
  </si>
  <si>
    <t>Unidad de Medida:U</t>
  </si>
  <si>
    <t>Ancho</t>
  </si>
  <si>
    <t>Alto</t>
  </si>
  <si>
    <t>Esp. Mercadot.</t>
  </si>
  <si>
    <t>Dtor. Mercadot.</t>
  </si>
  <si>
    <t>PRECIO CON TRIBUTO</t>
  </si>
  <si>
    <t xml:space="preserve">Elaborado por:                </t>
  </si>
  <si>
    <t xml:space="preserve">Revisado por:  </t>
  </si>
  <si>
    <t xml:space="preserve">Aprobado por:  </t>
  </si>
  <si>
    <t xml:space="preserve">EMPRESA: </t>
  </si>
  <si>
    <t>Operario “A” de Equipos Electrónicos y Estructuras (J. Brigada)</t>
  </si>
  <si>
    <t>Salario Mensual</t>
  </si>
  <si>
    <t>C. DE CUBIERTA</t>
  </si>
  <si>
    <t>Dias</t>
  </si>
  <si>
    <t>Horas</t>
  </si>
  <si>
    <t>SalxHora</t>
  </si>
  <si>
    <t>T</t>
  </si>
  <si>
    <t>BISAGRA DE PUERTAS DE DOS PATAS</t>
  </si>
  <si>
    <t>TORNILLO ROSCA CHAPA 4.2 X 13</t>
  </si>
  <si>
    <t>X120</t>
  </si>
  <si>
    <t>USD</t>
  </si>
  <si>
    <t>usd</t>
  </si>
  <si>
    <t>PERFIL ALUMINIO - MARCO PARA BATIENTE-PAÑO FIJO</t>
  </si>
  <si>
    <t xml:space="preserve">SP40-01 </t>
  </si>
  <si>
    <t xml:space="preserve">SP40-02 </t>
  </si>
  <si>
    <t>PERFIL ALUMINIO - HOJA PARA PUERTA BATIENTE INTERIOR-EXTERIOR</t>
  </si>
  <si>
    <t xml:space="preserve">SP40-04 </t>
  </si>
  <si>
    <t>HIN-61</t>
  </si>
  <si>
    <t xml:space="preserve">1250 mlc aranceles </t>
  </si>
  <si>
    <t xml:space="preserve">707,721 cup aranceles </t>
  </si>
  <si>
    <t>mlc</t>
  </si>
  <si>
    <t>x120</t>
  </si>
  <si>
    <t>alumini</t>
  </si>
  <si>
    <t>accesorios</t>
  </si>
  <si>
    <t>TORNILLO ACERO CABEZA ALLEN 5 MM AUTO ROSCA-Ø (4.8 X 55) mm</t>
  </si>
  <si>
    <t>SCW-04</t>
  </si>
  <si>
    <t>SCW-06</t>
  </si>
  <si>
    <t>TORNILLO ACERO CABEZA AVELLANADA PH2 CON TACO DE PVC-(Ø 8 X 80) mm</t>
  </si>
  <si>
    <t>EPDM BURLETE-SELLO-MARCO Y ACRISTALAMIENTO</t>
  </si>
  <si>
    <t>SEA-80</t>
  </si>
  <si>
    <t>EPDM BURLETE-SELLO-HOJA BATIENTE</t>
  </si>
  <si>
    <t>SEA-29</t>
  </si>
  <si>
    <t>SEA-54</t>
  </si>
  <si>
    <t>x100</t>
  </si>
  <si>
    <t>%</t>
  </si>
  <si>
    <t>ESCUADRA UNION 45° ALUMINIO - (35.9 X37.3) mm</t>
  </si>
  <si>
    <t>Esc Hoja</t>
  </si>
  <si>
    <t>Esc Marco</t>
  </si>
  <si>
    <t>BRA-38</t>
  </si>
  <si>
    <t>ESCUADRA UNION 45° ALUMINIO - (35.9 X13.9) mm</t>
  </si>
  <si>
    <t>BRA-13</t>
  </si>
  <si>
    <t>TAPON ORIFICIO PVC - Ø12 mm-BLANCO</t>
  </si>
  <si>
    <t>PLU-100</t>
  </si>
  <si>
    <t>LOK-51</t>
  </si>
  <si>
    <t>7005.29.00</t>
  </si>
  <si>
    <t>cont vidrio</t>
  </si>
  <si>
    <t>Cont aluminio</t>
  </si>
  <si>
    <t>metro usd</t>
  </si>
  <si>
    <t>PRECIO USD</t>
  </si>
  <si>
    <t>1m2</t>
  </si>
  <si>
    <t>120,000 cup de trasporte</t>
  </si>
  <si>
    <t>Aranceles sin transporte</t>
  </si>
  <si>
    <t>Aranceles mas transporte</t>
  </si>
  <si>
    <t>Gasto Total</t>
  </si>
  <si>
    <t>X</t>
  </si>
  <si>
    <t>%Aranceles y transporte</t>
  </si>
  <si>
    <t>Gasto Aranceles y transporte</t>
  </si>
  <si>
    <t>%Aranceles</t>
  </si>
  <si>
    <t>%Transportacion</t>
  </si>
  <si>
    <t>Gasto materiales+transporte +aranceles</t>
  </si>
  <si>
    <t>Gastos Transportacion Contenedor</t>
  </si>
  <si>
    <t>Aranceles de importacion del contenedor (707721 cup+1250mlc)</t>
  </si>
  <si>
    <t>Total Combustible, energía y otros</t>
  </si>
  <si>
    <t>x 8.73%</t>
  </si>
  <si>
    <t>M2 Precio</t>
  </si>
  <si>
    <t>df</t>
  </si>
  <si>
    <t>PRECIO CON Arendamiento 6%</t>
  </si>
  <si>
    <t>6% Arrendamiento</t>
  </si>
  <si>
    <t>Gastos de tranferencia financiera en el exterior</t>
  </si>
  <si>
    <t>CORTE Acarreo y Prep Produccion</t>
  </si>
  <si>
    <t>Operario  Cristalero</t>
  </si>
  <si>
    <t xml:space="preserve">Calculos Tecnicos </t>
  </si>
  <si>
    <t>Producto o Servicio: Ficha de Puerta 900x2100 c cristal parsol traslusido</t>
  </si>
  <si>
    <t>COSTO USD</t>
  </si>
  <si>
    <t>Estimulacion xM2 Cristal (100 cup)</t>
  </si>
  <si>
    <t>Estimulacion xM2 Producto standar (1335cup)</t>
  </si>
  <si>
    <t>Tecnicos Dir</t>
  </si>
  <si>
    <t>Pantrista</t>
  </si>
  <si>
    <t>Custodios</t>
  </si>
  <si>
    <t>M2</t>
  </si>
  <si>
    <t>M</t>
  </si>
  <si>
    <t>ACCESORIOS</t>
  </si>
  <si>
    <t>CRISTAL PLANO TRANSLUCIDO PARSOL BRONCE OSCURO</t>
  </si>
  <si>
    <t>MELAMINA</t>
  </si>
  <si>
    <t>REVESTIMIENTO-TABLILLA (7 X 114) mm</t>
  </si>
  <si>
    <t xml:space="preserve">SP40-12 </t>
  </si>
  <si>
    <t>CERRADURA VERTICAL ALUMINIO PARA PUERTA BATIENTE - CON CILINDRO-3 LLAVES-BLANCO</t>
  </si>
  <si>
    <t>PERFIL ALUMINIO - TRAVESAÑO INTERMEDIO</t>
  </si>
  <si>
    <t>SANWICH</t>
  </si>
  <si>
    <t>SANWISH</t>
  </si>
  <si>
    <t>PERFIL ALUMINIO - TRAVESAÑO INTERMEDIO ZOCALO</t>
  </si>
  <si>
    <t>INVERSOR CENTRAL</t>
  </si>
  <si>
    <t>PESTILLO DESLIZABLE ALUMINIO EN CAMARA DE PERFIL CON SU BASE ALUMINIO-BLANCO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</si>
</sst>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000"/>
    <numFmt numFmtId="165" formatCode="#,##0.000000"/>
    <numFmt numFmtId="166" formatCode="0.000"/>
    <numFmt numFmtId="167" formatCode="0.0000000"/>
    <numFmt numFmtId="168" formatCode="0.000000"/>
    <numFmt numFmtId="169" formatCode="#,##0.00000"/>
  </numFmts>
  <fonts count="48">
    <font>
      <sz val="11"/>
      <name val="Calibri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b/>
      <sz val="11"/>
      <color rgb="FF00000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b/>
      <sz val="12"/>
      <color rgb="FFFF000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4"/>
      <color rgb="FF000000"/>
      <name val="Arial"/>
      <family val="2"/>
    </font>
    <font>
      <b/>
      <sz val="10"/>
      <color rgb="FF000000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2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4"/>
      <color rgb="FF000000"/>
      <name val="Times New Roman"/>
      <family val="1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sz val="11"/>
      <color rgb="FFFF0000"/>
      <name val="Times New Roman"/>
      <family val="1"/>
    </font>
    <font>
      <b/>
      <sz val="10"/>
      <name val="Arial"/>
      <family val="2"/>
    </font>
    <font>
      <sz val="10"/>
      <color rgb="FFFF0000"/>
      <name val="Arial"/>
      <family val="2"/>
    </font>
    <font>
      <b/>
      <u/>
      <sz val="10"/>
      <name val="Times New Roman"/>
      <family val="1"/>
    </font>
    <font>
      <b/>
      <sz val="11"/>
      <name val="Times New Roman"/>
      <family val="1"/>
    </font>
    <font>
      <b/>
      <sz val="11"/>
      <color rgb="FF000000"/>
      <name val="Calibri"/>
      <family val="2"/>
    </font>
    <font>
      <b/>
      <sz val="11"/>
      <color rgb="FFFF0000"/>
      <name val="Arial"/>
      <family val="2"/>
    </font>
    <font>
      <b/>
      <sz val="10"/>
      <color rgb="FFFF0000"/>
      <name val="Times New Roman"/>
      <family val="1"/>
    </font>
    <font>
      <b/>
      <sz val="11"/>
      <color rgb="FFFF000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2"/>
      <color theme="1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rgb="FF0070C0"/>
      <name val="Arial"/>
      <family val="2"/>
    </font>
    <font>
      <sz val="12"/>
      <color rgb="FF0070C0"/>
      <name val="Arial"/>
      <family val="2"/>
    </font>
    <font>
      <b/>
      <sz val="11"/>
      <color rgb="FF0070C0"/>
      <name val="Arial"/>
      <family val="2"/>
    </font>
    <font>
      <sz val="11"/>
      <color rgb="FF0070C0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8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</borders>
  <cellStyleXfs count="3">
    <xf numFmtId="0" fontId="0" fillId="0" borderId="0">
      <alignment vertical="center"/>
    </xf>
    <xf numFmtId="0" fontId="22" fillId="0" borderId="0">
      <protection locked="0"/>
    </xf>
    <xf numFmtId="0" fontId="14" fillId="0" borderId="0">
      <protection locked="0"/>
    </xf>
  </cellStyleXfs>
  <cellXfs count="443">
    <xf numFmtId="0" fontId="0" fillId="0" borderId="0" xfId="0">
      <alignment vertical="center"/>
    </xf>
    <xf numFmtId="0" fontId="2" fillId="0" borderId="15" xfId="0" applyFont="1" applyBorder="1" applyAlignment="1"/>
    <xf numFmtId="0" fontId="3" fillId="0" borderId="15" xfId="0" applyFont="1" applyBorder="1" applyAlignment="1">
      <alignment horizontal="left"/>
    </xf>
    <xf numFmtId="0" fontId="1" fillId="0" borderId="15" xfId="0" applyFont="1" applyBorder="1" applyAlignment="1">
      <alignment vertical="center" wrapText="1"/>
    </xf>
    <xf numFmtId="0" fontId="1" fillId="0" borderId="15" xfId="0" applyFont="1" applyBorder="1" applyAlignment="1">
      <alignment horizontal="center" vertical="center" wrapText="1"/>
    </xf>
    <xf numFmtId="49" fontId="1" fillId="0" borderId="16" xfId="0" applyNumberFormat="1" applyFont="1" applyBorder="1" applyAlignment="1">
      <alignment horizontal="center" vertical="center" wrapText="1"/>
    </xf>
    <xf numFmtId="0" fontId="4" fillId="2" borderId="4" xfId="0" applyFont="1" applyFill="1" applyBorder="1" applyAlignment="1"/>
    <xf numFmtId="0" fontId="4" fillId="2" borderId="5" xfId="0" applyFont="1" applyFill="1" applyBorder="1" applyAlignment="1">
      <alignment horizontal="center"/>
    </xf>
    <xf numFmtId="2" fontId="5" fillId="2" borderId="6" xfId="0" applyNumberFormat="1" applyFont="1" applyFill="1" applyBorder="1" applyAlignment="1">
      <alignment horizontal="center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4" fontId="1" fillId="0" borderId="6" xfId="0" applyNumberFormat="1" applyFont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horizontal="center" vertical="center" wrapText="1"/>
    </xf>
    <xf numFmtId="4" fontId="1" fillId="2" borderId="6" xfId="0" applyNumberFormat="1" applyFont="1" applyFill="1" applyBorder="1" applyAlignment="1">
      <alignment horizontal="center" vertical="center" wrapText="1"/>
    </xf>
    <xf numFmtId="0" fontId="6" fillId="0" borderId="17" xfId="0" applyFont="1" applyBorder="1" applyAlignment="1">
      <alignment vertical="center" wrapText="1"/>
    </xf>
    <xf numFmtId="0" fontId="6" fillId="0" borderId="18" xfId="0" applyFont="1" applyBorder="1" applyAlignment="1">
      <alignment horizontal="center" vertical="center" wrapText="1"/>
    </xf>
    <xf numFmtId="2" fontId="7" fillId="0" borderId="6" xfId="0" applyNumberFormat="1" applyFont="1" applyBorder="1" applyAlignment="1" applyProtection="1">
      <alignment horizontal="center"/>
      <protection locked="0"/>
    </xf>
    <xf numFmtId="49" fontId="7" fillId="0" borderId="5" xfId="0" applyNumberFormat="1" applyFont="1" applyBorder="1" applyAlignment="1" applyProtection="1">
      <alignment horizontal="center"/>
      <protection locked="0"/>
    </xf>
    <xf numFmtId="2" fontId="5" fillId="0" borderId="6" xfId="0" applyNumberFormat="1" applyFont="1" applyBorder="1" applyAlignment="1" applyProtection="1">
      <alignment horizontal="center"/>
      <protection locked="0"/>
    </xf>
    <xf numFmtId="0" fontId="8" fillId="0" borderId="4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3" borderId="4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horizontal="center" vertical="center" wrapText="1"/>
    </xf>
    <xf numFmtId="4" fontId="1" fillId="3" borderId="6" xfId="0" applyNumberFormat="1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4" fontId="6" fillId="0" borderId="6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6" fillId="0" borderId="15" xfId="0" applyFont="1" applyBorder="1" applyAlignment="1">
      <alignment vertical="center" wrapText="1"/>
    </xf>
    <xf numFmtId="0" fontId="9" fillId="0" borderId="15" xfId="0" applyFont="1" applyBorder="1">
      <alignment vertical="center"/>
    </xf>
    <xf numFmtId="0" fontId="6" fillId="0" borderId="19" xfId="0" applyFont="1" applyBorder="1" applyAlignment="1">
      <alignment vertical="center" wrapText="1"/>
    </xf>
    <xf numFmtId="0" fontId="9" fillId="0" borderId="20" xfId="0" applyFont="1" applyBorder="1">
      <alignment vertical="center"/>
    </xf>
    <xf numFmtId="164" fontId="10" fillId="0" borderId="0" xfId="0" applyNumberFormat="1" applyFont="1" applyAlignment="1"/>
    <xf numFmtId="0" fontId="9" fillId="0" borderId="0" xfId="0" applyFont="1" applyAlignment="1">
      <alignment horizontal="left"/>
    </xf>
    <xf numFmtId="0" fontId="9" fillId="0" borderId="0" xfId="0" applyFont="1" applyAlignment="1"/>
    <xf numFmtId="0" fontId="11" fillId="0" borderId="2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3" fillId="0" borderId="0" xfId="0" applyFont="1" applyAlignment="1"/>
    <xf numFmtId="0" fontId="12" fillId="0" borderId="10" xfId="0" applyFont="1" applyBorder="1" applyAlignment="1">
      <alignment horizontal="left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5" fillId="0" borderId="8" xfId="0" applyFont="1" applyBorder="1" applyAlignment="1" applyProtection="1">
      <alignment horizontal="center" vertical="center"/>
      <protection locked="0"/>
    </xf>
    <xf numFmtId="0" fontId="13" fillId="4" borderId="34" xfId="0" applyFont="1" applyFill="1" applyBorder="1" applyAlignment="1">
      <alignment horizontal="center" vertical="center"/>
    </xf>
    <xf numFmtId="0" fontId="7" fillId="5" borderId="5" xfId="0" applyFont="1" applyFill="1" applyBorder="1" applyAlignment="1" applyProtection="1">
      <alignment horizontal="center" vertical="center"/>
      <protection locked="0"/>
    </xf>
    <xf numFmtId="49" fontId="7" fillId="0" borderId="5" xfId="0" applyNumberFormat="1" applyFont="1" applyBorder="1" applyAlignment="1" applyProtection="1">
      <alignment horizontal="left" indent="1"/>
      <protection locked="0"/>
    </xf>
    <xf numFmtId="0" fontId="7" fillId="4" borderId="5" xfId="0" applyFont="1" applyFill="1" applyBorder="1" applyAlignment="1">
      <alignment horizontal="center"/>
    </xf>
    <xf numFmtId="166" fontId="7" fillId="0" borderId="5" xfId="0" applyNumberFormat="1" applyFont="1" applyBorder="1" applyAlignment="1" applyProtection="1">
      <alignment horizontal="center" vertical="center" wrapText="1"/>
      <protection locked="0"/>
    </xf>
    <xf numFmtId="49" fontId="7" fillId="0" borderId="5" xfId="0" applyNumberFormat="1" applyFont="1" applyBorder="1" applyAlignment="1" applyProtection="1">
      <alignment horizontal="left"/>
      <protection locked="0"/>
    </xf>
    <xf numFmtId="165" fontId="7" fillId="0" borderId="36" xfId="1" applyNumberFormat="1" applyFont="1" applyBorder="1" applyProtection="1"/>
    <xf numFmtId="0" fontId="5" fillId="0" borderId="38" xfId="0" applyFont="1" applyBorder="1" applyAlignment="1">
      <alignment horizontal="left"/>
    </xf>
    <xf numFmtId="0" fontId="14" fillId="5" borderId="39" xfId="0" applyFont="1" applyFill="1" applyBorder="1" applyAlignment="1">
      <alignment horizontal="left"/>
    </xf>
    <xf numFmtId="0" fontId="10" fillId="0" borderId="0" xfId="0" applyFont="1" applyAlignment="1" applyProtection="1">
      <protection locked="0"/>
    </xf>
    <xf numFmtId="0" fontId="10" fillId="0" borderId="19" xfId="0" applyFont="1" applyBorder="1" applyAlignment="1" applyProtection="1">
      <protection locked="0"/>
    </xf>
    <xf numFmtId="0" fontId="10" fillId="0" borderId="27" xfId="0" applyFont="1" applyBorder="1" applyAlignment="1" applyProtection="1">
      <protection locked="0"/>
    </xf>
    <xf numFmtId="0" fontId="10" fillId="0" borderId="20" xfId="0" applyFont="1" applyBorder="1" applyAlignment="1" applyProtection="1">
      <protection locked="0"/>
    </xf>
    <xf numFmtId="0" fontId="18" fillId="0" borderId="1" xfId="0" applyFont="1" applyBorder="1" applyAlignment="1" applyProtection="1">
      <protection locked="0"/>
    </xf>
    <xf numFmtId="0" fontId="18" fillId="0" borderId="2" xfId="0" applyFont="1" applyBorder="1" applyAlignment="1" applyProtection="1">
      <protection locked="0"/>
    </xf>
    <xf numFmtId="0" fontId="18" fillId="0" borderId="4" xfId="0" applyFont="1" applyBorder="1" applyAlignment="1" applyProtection="1">
      <protection locked="0"/>
    </xf>
    <xf numFmtId="0" fontId="18" fillId="0" borderId="5" xfId="0" applyFont="1" applyBorder="1" applyAlignment="1" applyProtection="1">
      <protection locked="0"/>
    </xf>
    <xf numFmtId="0" fontId="18" fillId="0" borderId="38" xfId="0" applyFont="1" applyBorder="1" applyAlignment="1" applyProtection="1">
      <protection locked="0"/>
    </xf>
    <xf numFmtId="0" fontId="18" fillId="0" borderId="42" xfId="0" applyFont="1" applyBorder="1" applyAlignment="1" applyProtection="1">
      <protection locked="0"/>
    </xf>
    <xf numFmtId="0" fontId="18" fillId="0" borderId="39" xfId="0" applyFont="1" applyBorder="1" applyAlignment="1" applyProtection="1">
      <protection locked="0"/>
    </xf>
    <xf numFmtId="0" fontId="18" fillId="0" borderId="46" xfId="0" applyFont="1" applyBorder="1" applyAlignment="1" applyProtection="1">
      <protection locked="0"/>
    </xf>
    <xf numFmtId="0" fontId="18" fillId="0" borderId="4" xfId="0" applyFont="1" applyBorder="1" applyAlignment="1" applyProtection="1">
      <alignment horizontal="center"/>
      <protection locked="0"/>
    </xf>
    <xf numFmtId="0" fontId="19" fillId="0" borderId="5" xfId="0" applyFont="1" applyBorder="1" applyAlignment="1" applyProtection="1">
      <alignment horizontal="center"/>
      <protection locked="0"/>
    </xf>
    <xf numFmtId="0" fontId="18" fillId="0" borderId="5" xfId="0" applyFont="1" applyBorder="1" applyAlignment="1" applyProtection="1">
      <alignment horizontal="center"/>
      <protection locked="0"/>
    </xf>
    <xf numFmtId="0" fontId="18" fillId="0" borderId="6" xfId="0" applyFont="1" applyBorder="1" applyAlignment="1" applyProtection="1">
      <alignment horizontal="center"/>
      <protection locked="0"/>
    </xf>
    <xf numFmtId="49" fontId="20" fillId="0" borderId="4" xfId="0" applyNumberFormat="1" applyFont="1" applyBorder="1" applyAlignment="1" applyProtection="1">
      <alignment horizontal="center"/>
      <protection locked="0"/>
    </xf>
    <xf numFmtId="49" fontId="20" fillId="0" borderId="5" xfId="0" applyNumberFormat="1" applyFont="1" applyBorder="1" applyAlignment="1" applyProtection="1">
      <alignment horizontal="center"/>
      <protection locked="0"/>
    </xf>
    <xf numFmtId="49" fontId="20" fillId="0" borderId="5" xfId="0" applyNumberFormat="1" applyFont="1" applyBorder="1" applyAlignment="1" applyProtection="1">
      <alignment horizontal="left"/>
      <protection locked="0"/>
    </xf>
    <xf numFmtId="0" fontId="10" fillId="0" borderId="5" xfId="0" applyFont="1" applyBorder="1" applyAlignment="1" applyProtection="1">
      <protection locked="0"/>
    </xf>
    <xf numFmtId="0" fontId="10" fillId="0" borderId="6" xfId="0" applyFont="1" applyBorder="1" applyAlignment="1" applyProtection="1">
      <protection locked="0"/>
    </xf>
    <xf numFmtId="0" fontId="17" fillId="0" borderId="0" xfId="0" applyFont="1" applyAlignment="1" applyProtection="1">
      <protection locked="0"/>
    </xf>
    <xf numFmtId="0" fontId="21" fillId="0" borderId="4" xfId="0" applyFont="1" applyBorder="1" applyAlignment="1" applyProtection="1">
      <alignment horizontal="left"/>
      <protection locked="0"/>
    </xf>
    <xf numFmtId="164" fontId="17" fillId="0" borderId="5" xfId="0" applyNumberFormat="1" applyFont="1" applyBorder="1" applyAlignment="1"/>
    <xf numFmtId="0" fontId="17" fillId="6" borderId="5" xfId="0" applyFont="1" applyFill="1" applyBorder="1" applyAlignment="1" applyProtection="1">
      <protection locked="0"/>
    </xf>
    <xf numFmtId="164" fontId="17" fillId="0" borderId="6" xfId="0" applyNumberFormat="1" applyFont="1" applyBorder="1" applyAlignment="1"/>
    <xf numFmtId="2" fontId="10" fillId="0" borderId="5" xfId="0" applyNumberFormat="1" applyFont="1" applyBorder="1" applyAlignment="1" applyProtection="1">
      <protection locked="0"/>
    </xf>
    <xf numFmtId="0" fontId="10" fillId="6" borderId="5" xfId="0" applyFont="1" applyFill="1" applyBorder="1" applyAlignment="1" applyProtection="1">
      <protection locked="0"/>
    </xf>
    <xf numFmtId="0" fontId="20" fillId="0" borderId="4" xfId="0" applyFont="1" applyBorder="1" applyAlignment="1" applyProtection="1">
      <alignment horizontal="left"/>
      <protection locked="0"/>
    </xf>
    <xf numFmtId="0" fontId="19" fillId="0" borderId="4" xfId="0" applyFont="1" applyBorder="1" applyAlignment="1" applyProtection="1">
      <alignment horizontal="left"/>
      <protection locked="0"/>
    </xf>
    <xf numFmtId="49" fontId="19" fillId="0" borderId="5" xfId="0" applyNumberFormat="1" applyFont="1" applyBorder="1" applyAlignment="1" applyProtection="1">
      <alignment horizontal="center"/>
      <protection locked="0"/>
    </xf>
    <xf numFmtId="0" fontId="19" fillId="0" borderId="7" xfId="0" applyFont="1" applyBorder="1" applyAlignment="1" applyProtection="1">
      <alignment horizontal="left"/>
      <protection locked="0"/>
    </xf>
    <xf numFmtId="49" fontId="19" fillId="0" borderId="8" xfId="0" applyNumberFormat="1" applyFont="1" applyBorder="1" applyAlignment="1" applyProtection="1">
      <alignment horizontal="center"/>
      <protection locked="0"/>
    </xf>
    <xf numFmtId="0" fontId="17" fillId="0" borderId="8" xfId="0" applyFont="1" applyBorder="1" applyAlignment="1" applyProtection="1">
      <protection locked="0"/>
    </xf>
    <xf numFmtId="0" fontId="17" fillId="0" borderId="9" xfId="0" applyFont="1" applyBorder="1" applyAlignment="1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0" xfId="0" applyFont="1" applyAlignment="1" applyProtection="1">
      <alignment wrapText="1"/>
      <protection locked="0"/>
    </xf>
    <xf numFmtId="0" fontId="5" fillId="0" borderId="5" xfId="0" applyFont="1" applyBorder="1" applyAlignment="1" applyProtection="1"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8" fillId="4" borderId="5" xfId="0" applyFont="1" applyFill="1" applyBorder="1" applyAlignment="1" applyProtection="1">
      <protection locked="0"/>
    </xf>
    <xf numFmtId="0" fontId="17" fillId="0" borderId="5" xfId="0" applyFont="1" applyBorder="1" applyAlignment="1" applyProtection="1">
      <alignment horizontal="center"/>
      <protection locked="0"/>
    </xf>
    <xf numFmtId="0" fontId="5" fillId="0" borderId="5" xfId="0" applyFont="1" applyBorder="1" applyAlignment="1" applyProtection="1">
      <alignment horizontal="center"/>
      <protection locked="0"/>
    </xf>
    <xf numFmtId="49" fontId="5" fillId="0" borderId="5" xfId="0" applyNumberFormat="1" applyFont="1" applyBorder="1" applyAlignment="1" applyProtection="1">
      <alignment horizontal="left"/>
      <protection locked="0"/>
    </xf>
    <xf numFmtId="49" fontId="5" fillId="0" borderId="5" xfId="0" applyNumberFormat="1" applyFont="1" applyBorder="1" applyAlignment="1" applyProtection="1">
      <alignment horizontal="center"/>
      <protection locked="0"/>
    </xf>
    <xf numFmtId="164" fontId="5" fillId="3" borderId="5" xfId="0" applyNumberFormat="1" applyFont="1" applyFill="1" applyBorder="1" applyAlignment="1">
      <alignment horizontal="center"/>
    </xf>
    <xf numFmtId="0" fontId="22" fillId="7" borderId="0" xfId="0" applyFont="1" applyFill="1" applyAlignment="1" applyProtection="1">
      <protection locked="0"/>
    </xf>
    <xf numFmtId="0" fontId="22" fillId="0" borderId="0" xfId="0" applyFont="1" applyAlignment="1" applyProtection="1">
      <protection locked="0"/>
    </xf>
    <xf numFmtId="0" fontId="7" fillId="0" borderId="5" xfId="0" applyFont="1" applyBorder="1" applyAlignment="1" applyProtection="1">
      <protection locked="0"/>
    </xf>
    <xf numFmtId="164" fontId="7" fillId="0" borderId="5" xfId="0" applyNumberFormat="1" applyFont="1" applyBorder="1" applyAlignment="1" applyProtection="1">
      <alignment horizontal="center"/>
      <protection locked="0"/>
    </xf>
    <xf numFmtId="164" fontId="22" fillId="0" borderId="0" xfId="0" applyNumberFormat="1" applyFont="1" applyAlignment="1" applyProtection="1">
      <protection locked="0"/>
    </xf>
    <xf numFmtId="0" fontId="10" fillId="7" borderId="0" xfId="0" applyFont="1" applyFill="1" applyAlignment="1" applyProtection="1">
      <protection locked="0"/>
    </xf>
    <xf numFmtId="0" fontId="17" fillId="7" borderId="0" xfId="0" applyFont="1" applyFill="1" applyAlignment="1" applyProtection="1">
      <protection locked="0"/>
    </xf>
    <xf numFmtId="164" fontId="17" fillId="0" borderId="0" xfId="0" applyNumberFormat="1" applyFont="1" applyAlignment="1" applyProtection="1">
      <protection locked="0"/>
    </xf>
    <xf numFmtId="2" fontId="5" fillId="3" borderId="5" xfId="0" applyNumberFormat="1" applyFont="1" applyFill="1" applyBorder="1" applyAlignment="1">
      <alignment horizontal="center"/>
    </xf>
    <xf numFmtId="0" fontId="7" fillId="0" borderId="5" xfId="0" applyFont="1" applyBorder="1" applyAlignment="1" applyProtection="1">
      <alignment horizontal="left" indent="1"/>
      <protection locked="0"/>
    </xf>
    <xf numFmtId="0" fontId="7" fillId="0" borderId="5" xfId="0" applyFont="1" applyBorder="1" applyAlignment="1" applyProtection="1">
      <alignment horizontal="left"/>
      <protection locked="0"/>
    </xf>
    <xf numFmtId="164" fontId="5" fillId="3" borderId="5" xfId="0" applyNumberFormat="1" applyFont="1" applyFill="1" applyBorder="1" applyAlignment="1" applyProtection="1">
      <alignment horizontal="center"/>
      <protection locked="0"/>
    </xf>
    <xf numFmtId="0" fontId="17" fillId="0" borderId="15" xfId="0" applyFont="1" applyBorder="1" applyAlignment="1" applyProtection="1">
      <alignment horizontal="center" vertical="center" wrapText="1"/>
      <protection locked="0"/>
    </xf>
    <xf numFmtId="2" fontId="17" fillId="0" borderId="15" xfId="0" applyNumberFormat="1" applyFont="1" applyBorder="1" applyAlignment="1" applyProtection="1">
      <alignment horizontal="center" vertical="center"/>
      <protection locked="0"/>
    </xf>
    <xf numFmtId="0" fontId="26" fillId="0" borderId="64" xfId="0" applyFont="1" applyBorder="1" applyAlignment="1">
      <alignment horizontal="center" vertical="center" wrapText="1"/>
    </xf>
    <xf numFmtId="0" fontId="27" fillId="0" borderId="64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26" fillId="0" borderId="15" xfId="0" applyFont="1" applyBorder="1" applyAlignment="1">
      <alignment horizontal="center" vertical="center" wrapText="1"/>
    </xf>
    <xf numFmtId="0" fontId="26" fillId="0" borderId="65" xfId="0" applyFont="1" applyBorder="1" applyAlignment="1">
      <alignment horizontal="center" vertical="center" wrapText="1"/>
    </xf>
    <xf numFmtId="0" fontId="26" fillId="0" borderId="66" xfId="0" applyFont="1" applyBorder="1" applyAlignment="1">
      <alignment horizontal="center" vertical="center" wrapText="1"/>
    </xf>
    <xf numFmtId="0" fontId="26" fillId="0" borderId="68" xfId="0" applyFont="1" applyBorder="1" applyAlignment="1">
      <alignment horizontal="center" vertical="center" wrapText="1"/>
    </xf>
    <xf numFmtId="0" fontId="10" fillId="0" borderId="5" xfId="0" applyFont="1" applyBorder="1" applyAlignment="1"/>
    <xf numFmtId="0" fontId="28" fillId="0" borderId="46" xfId="0" applyFont="1" applyBorder="1" applyAlignment="1">
      <alignment horizontal="center" vertical="center" wrapText="1"/>
    </xf>
    <xf numFmtId="169" fontId="6" fillId="0" borderId="5" xfId="0" applyNumberFormat="1" applyFont="1" applyBorder="1" applyAlignment="1">
      <alignment horizontal="center" vertical="center"/>
    </xf>
    <xf numFmtId="164" fontId="15" fillId="3" borderId="5" xfId="0" applyNumberFormat="1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164" fontId="15" fillId="0" borderId="5" xfId="0" applyNumberFormat="1" applyFont="1" applyBorder="1" applyAlignment="1">
      <alignment horizontal="center" vertical="center" wrapText="1"/>
    </xf>
    <xf numFmtId="0" fontId="29" fillId="0" borderId="5" xfId="0" applyFont="1" applyBorder="1" applyAlignment="1"/>
    <xf numFmtId="0" fontId="26" fillId="0" borderId="5" xfId="0" applyFont="1" applyBorder="1" applyAlignment="1">
      <alignment horizontal="center" vertical="center" wrapText="1"/>
    </xf>
    <xf numFmtId="0" fontId="15" fillId="0" borderId="5" xfId="2" applyFont="1" applyBorder="1" applyAlignment="1" applyProtection="1">
      <alignment horizontal="center"/>
    </xf>
    <xf numFmtId="0" fontId="14" fillId="0" borderId="5" xfId="2" applyBorder="1" applyProtection="1"/>
    <xf numFmtId="168" fontId="15" fillId="0" borderId="5" xfId="0" applyNumberFormat="1" applyFont="1" applyBorder="1" applyAlignment="1">
      <alignment horizontal="center" vertical="center" wrapText="1"/>
    </xf>
    <xf numFmtId="0" fontId="29" fillId="0" borderId="5" xfId="2" applyFont="1" applyBorder="1" applyProtection="1"/>
    <xf numFmtId="0" fontId="14" fillId="0" borderId="8" xfId="2" applyBorder="1" applyProtection="1"/>
    <xf numFmtId="0" fontId="26" fillId="0" borderId="8" xfId="0" applyFont="1" applyBorder="1" applyAlignment="1">
      <alignment horizontal="center" vertical="center" wrapText="1"/>
    </xf>
    <xf numFmtId="0" fontId="15" fillId="0" borderId="8" xfId="2" applyFont="1" applyBorder="1" applyAlignment="1" applyProtection="1">
      <alignment horizontal="center"/>
    </xf>
    <xf numFmtId="164" fontId="15" fillId="0" borderId="8" xfId="0" applyNumberFormat="1" applyFont="1" applyBorder="1" applyAlignment="1">
      <alignment horizontal="center" vertical="center" wrapText="1"/>
    </xf>
    <xf numFmtId="164" fontId="15" fillId="3" borderId="8" xfId="0" applyNumberFormat="1" applyFont="1" applyFill="1" applyBorder="1" applyAlignment="1">
      <alignment horizontal="center" vertical="center" wrapText="1"/>
    </xf>
    <xf numFmtId="0" fontId="30" fillId="0" borderId="13" xfId="2" applyFont="1" applyBorder="1" applyProtection="1"/>
    <xf numFmtId="0" fontId="30" fillId="0" borderId="69" xfId="2" applyFont="1" applyBorder="1" applyProtection="1"/>
    <xf numFmtId="0" fontId="26" fillId="0" borderId="70" xfId="0" applyFont="1" applyBorder="1" applyAlignment="1">
      <alignment horizontal="center" vertical="center" wrapText="1"/>
    </xf>
    <xf numFmtId="0" fontId="15" fillId="0" borderId="70" xfId="2" applyFont="1" applyBorder="1" applyAlignment="1" applyProtection="1">
      <alignment horizontal="center"/>
    </xf>
    <xf numFmtId="164" fontId="15" fillId="0" borderId="70" xfId="0" applyNumberFormat="1" applyFont="1" applyBorder="1" applyAlignment="1">
      <alignment horizontal="center" vertical="center" wrapText="1"/>
    </xf>
    <xf numFmtId="164" fontId="15" fillId="0" borderId="14" xfId="0" applyNumberFormat="1" applyFont="1" applyBorder="1" applyAlignment="1">
      <alignment horizontal="center" vertical="center" wrapText="1"/>
    </xf>
    <xf numFmtId="164" fontId="12" fillId="3" borderId="12" xfId="0" applyNumberFormat="1" applyFont="1" applyFill="1" applyBorder="1" applyAlignment="1">
      <alignment horizontal="center" vertical="center" wrapText="1"/>
    </xf>
    <xf numFmtId="0" fontId="27" fillId="0" borderId="61" xfId="0" applyFont="1" applyBorder="1" applyAlignment="1">
      <alignment vertical="center" wrapText="1"/>
    </xf>
    <xf numFmtId="0" fontId="27" fillId="0" borderId="72" xfId="0" applyFont="1" applyBorder="1" applyAlignment="1">
      <alignment vertical="center" wrapText="1"/>
    </xf>
    <xf numFmtId="0" fontId="17" fillId="0" borderId="0" xfId="0" applyFont="1" applyAlignment="1"/>
    <xf numFmtId="0" fontId="20" fillId="0" borderId="0" xfId="0" applyFont="1" applyAlignment="1"/>
    <xf numFmtId="0" fontId="18" fillId="0" borderId="5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/>
    </xf>
    <xf numFmtId="49" fontId="20" fillId="0" borderId="0" xfId="0" applyNumberFormat="1" applyFont="1" applyAlignment="1"/>
    <xf numFmtId="49" fontId="31" fillId="0" borderId="4" xfId="0" applyNumberFormat="1" applyFont="1" applyBorder="1" applyAlignment="1">
      <alignment horizontal="left"/>
    </xf>
    <xf numFmtId="2" fontId="20" fillId="0" borderId="5" xfId="0" applyNumberFormat="1" applyFont="1" applyBorder="1" applyAlignment="1">
      <alignment horizontal="center"/>
    </xf>
    <xf numFmtId="2" fontId="32" fillId="0" borderId="6" xfId="0" applyNumberFormat="1" applyFont="1" applyBorder="1" applyAlignment="1">
      <alignment horizontal="center"/>
    </xf>
    <xf numFmtId="0" fontId="10" fillId="0" borderId="4" xfId="0" applyFont="1" applyBorder="1" applyAlignment="1"/>
    <xf numFmtId="2" fontId="10" fillId="0" borderId="5" xfId="0" applyNumberFormat="1" applyFont="1" applyBorder="1" applyAlignment="1"/>
    <xf numFmtId="2" fontId="33" fillId="0" borderId="6" xfId="0" applyNumberFormat="1" applyFont="1" applyBorder="1" applyAlignment="1"/>
    <xf numFmtId="0" fontId="31" fillId="0" borderId="4" xfId="0" applyFont="1" applyBorder="1" applyAlignment="1"/>
    <xf numFmtId="2" fontId="23" fillId="0" borderId="6" xfId="0" applyNumberFormat="1" applyFont="1" applyBorder="1" applyAlignment="1">
      <alignment horizontal="center"/>
    </xf>
    <xf numFmtId="2" fontId="10" fillId="0" borderId="6" xfId="0" applyNumberFormat="1" applyFont="1" applyBorder="1" applyAlignment="1"/>
    <xf numFmtId="0" fontId="33" fillId="0" borderId="4" xfId="0" applyFont="1" applyBorder="1" applyAlignment="1"/>
    <xf numFmtId="2" fontId="10" fillId="3" borderId="6" xfId="0" applyNumberFormat="1" applyFont="1" applyFill="1" applyBorder="1" applyAlignment="1"/>
    <xf numFmtId="0" fontId="21" fillId="0" borderId="0" xfId="0" applyFont="1" applyAlignment="1"/>
    <xf numFmtId="0" fontId="21" fillId="0" borderId="25" xfId="0" applyFont="1" applyBorder="1" applyAlignment="1">
      <alignment horizontal="left" vertical="top"/>
    </xf>
    <xf numFmtId="0" fontId="21" fillId="0" borderId="76" xfId="0" applyFont="1" applyBorder="1" applyAlignment="1">
      <alignment horizontal="left" vertical="top"/>
    </xf>
    <xf numFmtId="0" fontId="21" fillId="0" borderId="10" xfId="0" applyFont="1" applyBorder="1" applyAlignment="1">
      <alignment horizontal="left" vertical="top"/>
    </xf>
    <xf numFmtId="0" fontId="21" fillId="0" borderId="78" xfId="0" applyFont="1" applyBorder="1" applyAlignment="1">
      <alignment horizontal="left" vertical="top"/>
    </xf>
    <xf numFmtId="0" fontId="6" fillId="0" borderId="37" xfId="0" applyFont="1" applyBorder="1" applyAlignment="1"/>
    <xf numFmtId="166" fontId="10" fillId="0" borderId="37" xfId="0" applyNumberFormat="1" applyFont="1" applyBorder="1" applyAlignment="1"/>
    <xf numFmtId="2" fontId="10" fillId="0" borderId="37" xfId="0" applyNumberFormat="1" applyFont="1" applyBorder="1" applyAlignment="1"/>
    <xf numFmtId="0" fontId="10" fillId="0" borderId="37" xfId="0" applyFont="1" applyBorder="1" applyAlignment="1"/>
    <xf numFmtId="0" fontId="33" fillId="0" borderId="37" xfId="0" applyFont="1" applyBorder="1" applyAlignment="1"/>
    <xf numFmtId="164" fontId="10" fillId="0" borderId="37" xfId="0" applyNumberFormat="1" applyFont="1" applyBorder="1" applyAlignment="1"/>
    <xf numFmtId="0" fontId="10" fillId="0" borderId="50" xfId="0" applyFont="1" applyBorder="1" applyAlignment="1"/>
    <xf numFmtId="0" fontId="38" fillId="0" borderId="4" xfId="0" applyFont="1" applyBorder="1" applyAlignment="1" applyProtection="1">
      <protection locked="0"/>
    </xf>
    <xf numFmtId="0" fontId="39" fillId="5" borderId="17" xfId="0" applyFont="1" applyFill="1" applyBorder="1" applyAlignment="1">
      <alignment horizontal="left" vertical="center" wrapText="1"/>
    </xf>
    <xf numFmtId="0" fontId="38" fillId="0" borderId="5" xfId="0" applyFont="1" applyBorder="1" applyAlignment="1" applyProtection="1">
      <alignment horizontal="center" vertical="center"/>
      <protection locked="0"/>
    </xf>
    <xf numFmtId="0" fontId="39" fillId="0" borderId="5" xfId="0" applyFont="1" applyBorder="1" applyAlignment="1">
      <alignment horizontal="center" vertical="center"/>
    </xf>
    <xf numFmtId="169" fontId="39" fillId="0" borderId="5" xfId="0" applyNumberFormat="1" applyFont="1" applyBorder="1" applyAlignment="1">
      <alignment horizontal="center" vertical="center"/>
    </xf>
    <xf numFmtId="169" fontId="38" fillId="0" borderId="5" xfId="0" applyNumberFormat="1" applyFont="1" applyBorder="1" applyAlignment="1" applyProtection="1">
      <alignment horizontal="center"/>
      <protection locked="0"/>
    </xf>
    <xf numFmtId="16" fontId="1" fillId="0" borderId="5" xfId="0" applyNumberFormat="1" applyFont="1" applyBorder="1" applyAlignment="1">
      <alignment horizontal="center" vertical="center" wrapText="1"/>
    </xf>
    <xf numFmtId="4" fontId="1" fillId="8" borderId="6" xfId="0" applyNumberFormat="1" applyFont="1" applyFill="1" applyBorder="1" applyAlignment="1">
      <alignment horizontal="center" vertical="center" wrapText="1"/>
    </xf>
    <xf numFmtId="165" fontId="7" fillId="0" borderId="5" xfId="1" applyNumberFormat="1" applyFont="1" applyBorder="1" applyProtection="1"/>
    <xf numFmtId="0" fontId="0" fillId="0" borderId="0" xfId="0" applyAlignment="1">
      <alignment horizontal="center" vertical="center"/>
    </xf>
    <xf numFmtId="165" fontId="7" fillId="0" borderId="5" xfId="1" applyNumberFormat="1" applyFont="1" applyBorder="1" applyAlignment="1" applyProtection="1">
      <alignment horizontal="center"/>
    </xf>
    <xf numFmtId="0" fontId="9" fillId="0" borderId="0" xfId="0" applyFont="1" applyAlignment="1">
      <alignment horizontal="center"/>
    </xf>
    <xf numFmtId="4" fontId="0" fillId="0" borderId="0" xfId="0" applyNumberFormat="1">
      <alignment vertical="center"/>
    </xf>
    <xf numFmtId="0" fontId="0" fillId="9" borderId="0" xfId="0" applyFill="1">
      <alignment vertical="center"/>
    </xf>
    <xf numFmtId="0" fontId="12" fillId="0" borderId="1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2" fontId="6" fillId="3" borderId="5" xfId="0" applyNumberFormat="1" applyFont="1" applyFill="1" applyBorder="1" applyAlignment="1">
      <alignment horizontal="center" vertical="center" wrapText="1"/>
    </xf>
    <xf numFmtId="0" fontId="9" fillId="0" borderId="17" xfId="0" applyFont="1" applyBorder="1" applyAlignment="1" applyProtection="1">
      <alignment horizontal="left"/>
      <protection locked="0"/>
    </xf>
    <xf numFmtId="0" fontId="5" fillId="0" borderId="17" xfId="0" applyFont="1" applyBorder="1" applyAlignment="1" applyProtection="1">
      <alignment horizontal="left"/>
      <protection locked="0"/>
    </xf>
    <xf numFmtId="0" fontId="6" fillId="0" borderId="17" xfId="0" applyFont="1" applyBorder="1" applyAlignment="1">
      <alignment horizontal="left" vertical="center" wrapText="1"/>
    </xf>
    <xf numFmtId="0" fontId="6" fillId="0" borderId="38" xfId="0" applyFont="1" applyBorder="1" applyAlignment="1">
      <alignment horizontal="left" vertical="center" wrapText="1"/>
    </xf>
    <xf numFmtId="0" fontId="5" fillId="0" borderId="5" xfId="0" applyFont="1" applyBorder="1" applyAlignment="1"/>
    <xf numFmtId="0" fontId="9" fillId="0" borderId="5" xfId="0" applyFont="1" applyBorder="1" applyAlignment="1" applyProtection="1">
      <protection locked="0"/>
    </xf>
    <xf numFmtId="0" fontId="14" fillId="0" borderId="5" xfId="0" applyFont="1" applyBorder="1" applyAlignment="1">
      <alignment horizontal="center" vertical="center" wrapText="1"/>
    </xf>
    <xf numFmtId="2" fontId="1" fillId="3" borderId="5" xfId="0" applyNumberFormat="1" applyFont="1" applyFill="1" applyBorder="1" applyAlignment="1">
      <alignment horizontal="center" vertical="center" wrapText="1"/>
    </xf>
    <xf numFmtId="0" fontId="7" fillId="0" borderId="5" xfId="0" applyFont="1" applyBorder="1" applyAlignment="1"/>
    <xf numFmtId="0" fontId="7" fillId="0" borderId="5" xfId="0" applyFont="1" applyBorder="1" applyAlignment="1">
      <alignment horizontal="center"/>
    </xf>
    <xf numFmtId="2" fontId="6" fillId="0" borderId="5" xfId="0" applyNumberFormat="1" applyFont="1" applyBorder="1" applyAlignment="1">
      <alignment horizontal="center" vertical="center" wrapText="1"/>
    </xf>
    <xf numFmtId="2" fontId="7" fillId="3" borderId="5" xfId="0" applyNumberFormat="1" applyFont="1" applyFill="1" applyBorder="1" applyAlignment="1" applyProtection="1">
      <alignment horizontal="center"/>
      <protection locked="0"/>
    </xf>
    <xf numFmtId="0" fontId="1" fillId="0" borderId="5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2" fontId="7" fillId="0" borderId="5" xfId="0" applyNumberFormat="1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7" fillId="0" borderId="5" xfId="0" applyFont="1" applyBorder="1" applyAlignment="1">
      <alignment horizontal="left" vertical="center" indent="1"/>
    </xf>
    <xf numFmtId="14" fontId="7" fillId="0" borderId="5" xfId="0" applyNumberFormat="1" applyFont="1" applyBorder="1" applyAlignment="1">
      <alignment horizontal="center"/>
    </xf>
    <xf numFmtId="164" fontId="7" fillId="0" borderId="5" xfId="0" applyNumberFormat="1" applyFont="1" applyBorder="1" applyAlignment="1">
      <alignment horizontal="left" vertical="center" indent="1"/>
    </xf>
    <xf numFmtId="164" fontId="7" fillId="0" borderId="5" xfId="0" applyNumberFormat="1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right" vertical="center"/>
    </xf>
    <xf numFmtId="0" fontId="5" fillId="0" borderId="8" xfId="0" applyFont="1" applyBorder="1" applyAlignment="1">
      <alignment horizontal="left"/>
    </xf>
    <xf numFmtId="0" fontId="14" fillId="5" borderId="51" xfId="0" applyFont="1" applyFill="1" applyBorder="1" applyAlignment="1">
      <alignment horizontal="left"/>
    </xf>
    <xf numFmtId="167" fontId="7" fillId="0" borderId="5" xfId="0" applyNumberFormat="1" applyFont="1" applyBorder="1" applyAlignment="1">
      <alignment horizontal="center" vertical="center"/>
    </xf>
    <xf numFmtId="166" fontId="9" fillId="0" borderId="0" xfId="0" applyNumberFormat="1" applyFont="1" applyAlignment="1"/>
    <xf numFmtId="0" fontId="13" fillId="5" borderId="5" xfId="0" applyFont="1" applyFill="1" applyBorder="1" applyAlignment="1">
      <alignment vertical="center" wrapText="1"/>
    </xf>
    <xf numFmtId="0" fontId="1" fillId="0" borderId="30" xfId="0" applyFont="1" applyBorder="1" applyAlignment="1">
      <alignment vertical="center" wrapText="1"/>
    </xf>
    <xf numFmtId="0" fontId="13" fillId="0" borderId="33" xfId="0" applyFont="1" applyBorder="1" applyAlignment="1">
      <alignment horizontal="center"/>
    </xf>
    <xf numFmtId="0" fontId="13" fillId="4" borderId="34" xfId="0" applyFont="1" applyFill="1" applyBorder="1" applyAlignment="1"/>
    <xf numFmtId="2" fontId="6" fillId="0" borderId="16" xfId="0" applyNumberFormat="1" applyFont="1" applyBorder="1" applyAlignment="1">
      <alignment horizontal="center" vertical="center" wrapText="1"/>
    </xf>
    <xf numFmtId="1" fontId="13" fillId="0" borderId="5" xfId="0" applyNumberFormat="1" applyFont="1" applyBorder="1" applyProtection="1">
      <alignment vertical="center"/>
      <protection locked="0"/>
    </xf>
    <xf numFmtId="2" fontId="7" fillId="0" borderId="5" xfId="0" applyNumberFormat="1" applyFont="1" applyBorder="1" applyAlignment="1">
      <alignment horizontal="center" vertical="center"/>
    </xf>
    <xf numFmtId="1" fontId="13" fillId="0" borderId="5" xfId="0" applyNumberFormat="1" applyFont="1" applyBorder="1" applyAlignment="1" applyProtection="1">
      <alignment horizontal="left" vertical="center"/>
      <protection locked="0"/>
    </xf>
    <xf numFmtId="0" fontId="13" fillId="5" borderId="5" xfId="0" applyFont="1" applyFill="1" applyBorder="1" applyAlignment="1">
      <alignment wrapText="1"/>
    </xf>
    <xf numFmtId="0" fontId="7" fillId="5" borderId="5" xfId="0" applyFont="1" applyFill="1" applyBorder="1" applyAlignment="1">
      <alignment horizontal="left" wrapText="1" indent="1"/>
    </xf>
    <xf numFmtId="0" fontId="13" fillId="5" borderId="5" xfId="0" applyFont="1" applyFill="1" applyBorder="1" applyAlignment="1">
      <alignment horizontal="left" wrapText="1" indent="1"/>
    </xf>
    <xf numFmtId="0" fontId="7" fillId="10" borderId="5" xfId="0" applyFont="1" applyFill="1" applyBorder="1" applyAlignment="1">
      <alignment horizontal="center" vertical="center"/>
    </xf>
    <xf numFmtId="1" fontId="7" fillId="5" borderId="5" xfId="0" applyNumberFormat="1" applyFont="1" applyFill="1" applyBorder="1" applyAlignment="1" applyProtection="1">
      <alignment horizontal="center" vertical="center"/>
      <protection locked="0"/>
    </xf>
    <xf numFmtId="0" fontId="9" fillId="0" borderId="5" xfId="0" applyFont="1" applyBorder="1" applyAlignment="1">
      <alignment horizontal="left" vertical="center"/>
    </xf>
    <xf numFmtId="2" fontId="7" fillId="5" borderId="5" xfId="0" applyNumberFormat="1" applyFont="1" applyFill="1" applyBorder="1" applyAlignment="1" applyProtection="1">
      <alignment horizontal="center" vertical="center"/>
      <protection locked="0"/>
    </xf>
    <xf numFmtId="0" fontId="7" fillId="10" borderId="34" xfId="0" quotePrefix="1" applyFont="1" applyFill="1" applyBorder="1" applyAlignment="1">
      <alignment horizontal="center" vertical="center"/>
    </xf>
    <xf numFmtId="166" fontId="7" fillId="5" borderId="5" xfId="0" applyNumberFormat="1" applyFont="1" applyFill="1" applyBorder="1" applyAlignment="1" applyProtection="1">
      <alignment horizontal="center" vertical="center"/>
      <protection locked="0"/>
    </xf>
    <xf numFmtId="0" fontId="7" fillId="5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0" fillId="0" borderId="0" xfId="0" applyFont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2" fontId="7" fillId="7" borderId="5" xfId="0" applyNumberFormat="1" applyFont="1" applyFill="1" applyBorder="1" applyAlignment="1">
      <alignment horizontal="center" vertical="center" wrapText="1"/>
    </xf>
    <xf numFmtId="0" fontId="3" fillId="7" borderId="0" xfId="0" applyFont="1" applyFill="1" applyAlignment="1"/>
    <xf numFmtId="0" fontId="9" fillId="7" borderId="15" xfId="0" applyFont="1" applyFill="1" applyBorder="1" applyAlignment="1"/>
    <xf numFmtId="0" fontId="3" fillId="7" borderId="15" xfId="0" applyFont="1" applyFill="1" applyBorder="1" applyAlignment="1">
      <alignment horizontal="center"/>
    </xf>
    <xf numFmtId="2" fontId="3" fillId="7" borderId="15" xfId="0" applyNumberFormat="1" applyFont="1" applyFill="1" applyBorder="1" applyAlignment="1">
      <alignment horizontal="center"/>
    </xf>
    <xf numFmtId="0" fontId="41" fillId="0" borderId="0" xfId="0" applyFont="1">
      <alignment vertical="center"/>
    </xf>
    <xf numFmtId="2" fontId="3" fillId="7" borderId="15" xfId="0" applyNumberFormat="1" applyFont="1" applyFill="1" applyBorder="1" applyAlignment="1"/>
    <xf numFmtId="9" fontId="9" fillId="0" borderId="0" xfId="0" applyNumberFormat="1" applyFont="1" applyAlignment="1"/>
    <xf numFmtId="4" fontId="9" fillId="0" borderId="0" xfId="0" applyNumberFormat="1" applyFont="1" applyAlignment="1"/>
    <xf numFmtId="4" fontId="9" fillId="7" borderId="15" xfId="0" applyNumberFormat="1" applyFont="1" applyFill="1" applyBorder="1" applyAlignment="1"/>
    <xf numFmtId="10" fontId="9" fillId="7" borderId="15" xfId="0" applyNumberFormat="1" applyFont="1" applyFill="1" applyBorder="1" applyAlignment="1"/>
    <xf numFmtId="10" fontId="9" fillId="7" borderId="5" xfId="0" applyNumberFormat="1" applyFont="1" applyFill="1" applyBorder="1" applyAlignment="1"/>
    <xf numFmtId="10" fontId="7" fillId="0" borderId="5" xfId="0" applyNumberFormat="1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/>
    </xf>
    <xf numFmtId="164" fontId="6" fillId="0" borderId="8" xfId="0" applyNumberFormat="1" applyFont="1" applyBorder="1" applyAlignment="1">
      <alignment vertical="center" wrapText="1"/>
    </xf>
    <xf numFmtId="164" fontId="6" fillId="0" borderId="51" xfId="0" applyNumberFormat="1" applyFont="1" applyBorder="1" applyAlignment="1">
      <alignment vertical="center" wrapText="1"/>
    </xf>
    <xf numFmtId="0" fontId="41" fillId="0" borderId="0" xfId="0" applyFont="1" applyAlignment="1">
      <alignment horizontal="center" vertical="center"/>
    </xf>
    <xf numFmtId="2" fontId="40" fillId="7" borderId="15" xfId="0" applyNumberFormat="1" applyFont="1" applyFill="1" applyBorder="1">
      <alignment vertical="center"/>
    </xf>
    <xf numFmtId="4" fontId="40" fillId="7" borderId="15" xfId="0" applyNumberFormat="1" applyFont="1" applyFill="1" applyBorder="1">
      <alignment vertical="center"/>
    </xf>
    <xf numFmtId="4" fontId="40" fillId="7" borderId="0" xfId="0" applyNumberFormat="1" applyFont="1" applyFill="1">
      <alignment vertical="center"/>
    </xf>
    <xf numFmtId="0" fontId="0" fillId="7" borderId="10" xfId="0" applyFill="1" applyBorder="1">
      <alignment vertical="center"/>
    </xf>
    <xf numFmtId="0" fontId="40" fillId="7" borderId="5" xfId="0" applyFont="1" applyFill="1" applyBorder="1" applyAlignment="1">
      <alignment horizontal="center" vertical="center"/>
    </xf>
    <xf numFmtId="2" fontId="40" fillId="7" borderId="5" xfId="0" applyNumberFormat="1" applyFont="1" applyFill="1" applyBorder="1" applyAlignment="1">
      <alignment horizontal="center" vertical="center"/>
    </xf>
    <xf numFmtId="0" fontId="40" fillId="7" borderId="15" xfId="0" applyFont="1" applyFill="1" applyBorder="1">
      <alignment vertical="center"/>
    </xf>
    <xf numFmtId="0" fontId="40" fillId="0" borderId="0" xfId="0" applyFont="1">
      <alignment vertical="center"/>
    </xf>
    <xf numFmtId="0" fontId="14" fillId="0" borderId="5" xfId="0" applyFont="1" applyBorder="1" applyAlignment="1"/>
    <xf numFmtId="2" fontId="9" fillId="0" borderId="0" xfId="0" applyNumberFormat="1" applyFont="1" applyAlignment="1"/>
    <xf numFmtId="0" fontId="42" fillId="11" borderId="5" xfId="0" applyFont="1" applyFill="1" applyBorder="1" applyAlignment="1">
      <alignment horizontal="left" wrapText="1" indent="1"/>
    </xf>
    <xf numFmtId="0" fontId="42" fillId="11" borderId="5" xfId="0" applyFont="1" applyFill="1" applyBorder="1" applyAlignment="1">
      <alignment horizontal="left" vertical="center"/>
    </xf>
    <xf numFmtId="0" fontId="43" fillId="11" borderId="5" xfId="0" applyFont="1" applyFill="1" applyBorder="1" applyAlignment="1">
      <alignment horizontal="center" vertical="center"/>
    </xf>
    <xf numFmtId="166" fontId="43" fillId="11" borderId="5" xfId="0" applyNumberFormat="1" applyFont="1" applyFill="1" applyBorder="1" applyAlignment="1" applyProtection="1">
      <alignment horizontal="center" vertical="center"/>
      <protection locked="0"/>
    </xf>
    <xf numFmtId="0" fontId="43" fillId="11" borderId="5" xfId="0" applyFont="1" applyFill="1" applyBorder="1" applyAlignment="1">
      <alignment horizontal="center" vertical="center" wrapText="1"/>
    </xf>
    <xf numFmtId="2" fontId="43" fillId="11" borderId="5" xfId="0" applyNumberFormat="1" applyFont="1" applyFill="1" applyBorder="1" applyAlignment="1">
      <alignment horizontal="center" vertical="center" wrapText="1"/>
    </xf>
    <xf numFmtId="0" fontId="44" fillId="11" borderId="0" xfId="0" applyFont="1" applyFill="1" applyAlignment="1"/>
    <xf numFmtId="0" fontId="45" fillId="11" borderId="0" xfId="0" applyFont="1" applyFill="1" applyAlignment="1">
      <alignment horizontal="center" vertical="center" wrapText="1"/>
    </xf>
    <xf numFmtId="0" fontId="42" fillId="11" borderId="0" xfId="0" applyFont="1" applyFill="1" applyAlignment="1"/>
    <xf numFmtId="0" fontId="42" fillId="11" borderId="0" xfId="0" applyFont="1" applyFill="1" applyAlignment="1">
      <alignment horizontal="center"/>
    </xf>
    <xf numFmtId="0" fontId="45" fillId="11" borderId="0" xfId="0" applyFont="1" applyFill="1">
      <alignment vertical="center"/>
    </xf>
    <xf numFmtId="4" fontId="46" fillId="0" borderId="0" xfId="0" applyNumberFormat="1" applyFont="1">
      <alignment vertical="center"/>
    </xf>
    <xf numFmtId="0" fontId="46" fillId="0" borderId="0" xfId="0" applyFont="1" applyAlignment="1" applyProtection="1">
      <protection locked="0"/>
    </xf>
    <xf numFmtId="0" fontId="46" fillId="0" borderId="5" xfId="0" applyFont="1" applyBorder="1" applyAlignment="1">
      <alignment horizontal="center" vertical="center" wrapText="1"/>
    </xf>
    <xf numFmtId="4" fontId="47" fillId="12" borderId="0" xfId="0" applyNumberFormat="1" applyFont="1" applyFill="1">
      <alignment vertical="center"/>
    </xf>
    <xf numFmtId="0" fontId="47" fillId="12" borderId="0" xfId="0" applyFont="1" applyFill="1" applyAlignment="1" applyProtection="1">
      <protection locked="0"/>
    </xf>
    <xf numFmtId="0" fontId="47" fillId="12" borderId="5" xfId="0" applyFont="1" applyFill="1" applyBorder="1" applyAlignment="1">
      <alignment horizontal="center" vertical="center" wrapText="1"/>
    </xf>
    <xf numFmtId="2" fontId="42" fillId="11" borderId="0" xfId="0" applyNumberFormat="1" applyFont="1" applyFill="1" applyAlignment="1">
      <alignment horizontal="center"/>
    </xf>
    <xf numFmtId="0" fontId="0" fillId="13" borderId="0" xfId="0" applyFill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" fillId="0" borderId="16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26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1" fillId="0" borderId="25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left" vertical="top" wrapText="1"/>
    </xf>
    <xf numFmtId="0" fontId="3" fillId="0" borderId="23" xfId="0" applyFont="1" applyBorder="1" applyAlignment="1">
      <alignment horizontal="left" vertical="top" wrapText="1"/>
    </xf>
    <xf numFmtId="0" fontId="3" fillId="0" borderId="24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left" vertical="center" wrapText="1"/>
    </xf>
    <xf numFmtId="0" fontId="1" fillId="0" borderId="31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center" vertical="top" wrapText="1"/>
    </xf>
    <xf numFmtId="0" fontId="3" fillId="0" borderId="24" xfId="0" applyFont="1" applyBorder="1" applyAlignment="1">
      <alignment horizontal="center" vertical="top" wrapText="1"/>
    </xf>
    <xf numFmtId="0" fontId="3" fillId="0" borderId="27" xfId="0" applyFont="1" applyBorder="1" applyAlignment="1">
      <alignment horizontal="center" vertical="top" wrapText="1"/>
    </xf>
    <xf numFmtId="0" fontId="3" fillId="0" borderId="20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2" fillId="0" borderId="25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2" fillId="0" borderId="27" xfId="0" applyFont="1" applyBorder="1" applyAlignment="1">
      <alignment horizontal="left" vertical="center" wrapText="1"/>
    </xf>
    <xf numFmtId="0" fontId="3" fillId="0" borderId="25" xfId="0" applyFont="1" applyBorder="1" applyAlignment="1">
      <alignment vertical="top" wrapText="1"/>
    </xf>
    <xf numFmtId="0" fontId="3" fillId="0" borderId="23" xfId="0" applyFont="1" applyBorder="1" applyAlignment="1">
      <alignment vertical="top" wrapText="1"/>
    </xf>
    <xf numFmtId="0" fontId="3" fillId="0" borderId="19" xfId="0" applyFont="1" applyBorder="1" applyAlignment="1">
      <alignment vertical="top" wrapText="1"/>
    </xf>
    <xf numFmtId="0" fontId="3" fillId="0" borderId="27" xfId="0" applyFont="1" applyBorder="1" applyAlignment="1">
      <alignment vertical="top" wrapText="1"/>
    </xf>
    <xf numFmtId="10" fontId="7" fillId="0" borderId="8" xfId="0" applyNumberFormat="1" applyFont="1" applyBorder="1" applyAlignment="1">
      <alignment horizontal="center" vertical="center" wrapText="1"/>
    </xf>
    <xf numFmtId="10" fontId="7" fillId="0" borderId="51" xfId="0" applyNumberFormat="1" applyFont="1" applyBorder="1" applyAlignment="1">
      <alignment horizontal="center" vertical="center" wrapText="1"/>
    </xf>
    <xf numFmtId="0" fontId="18" fillId="0" borderId="30" xfId="0" applyFont="1" applyBorder="1" applyAlignment="1" applyProtection="1">
      <alignment horizontal="left" vertical="top" wrapText="1"/>
      <protection locked="0"/>
    </xf>
    <xf numFmtId="0" fontId="18" fillId="0" borderId="26" xfId="0" applyFont="1" applyBorder="1" applyAlignment="1" applyProtection="1">
      <alignment horizontal="left" vertical="top" wrapText="1"/>
      <protection locked="0"/>
    </xf>
    <xf numFmtId="0" fontId="18" fillId="0" borderId="19" xfId="0" applyFont="1" applyBorder="1" applyAlignment="1" applyProtection="1">
      <alignment horizontal="left" vertical="top" wrapText="1"/>
      <protection locked="0"/>
    </xf>
    <xf numFmtId="0" fontId="18" fillId="0" borderId="20" xfId="0" applyFont="1" applyBorder="1" applyAlignment="1" applyProtection="1">
      <alignment horizontal="left" vertical="top" wrapText="1"/>
      <protection locked="0"/>
    </xf>
    <xf numFmtId="0" fontId="18" fillId="0" borderId="51" xfId="0" applyFont="1" applyBorder="1" applyAlignment="1" applyProtection="1">
      <alignment horizontal="left" vertical="top"/>
      <protection locked="0"/>
    </xf>
    <xf numFmtId="0" fontId="18" fillId="0" borderId="53" xfId="0" applyFont="1" applyBorder="1" applyAlignment="1" applyProtection="1">
      <alignment horizontal="left" vertical="top"/>
      <protection locked="0"/>
    </xf>
    <xf numFmtId="0" fontId="18" fillId="0" borderId="34" xfId="0" applyFont="1" applyBorder="1" applyAlignment="1" applyProtection="1">
      <alignment horizontal="left" vertical="top" wrapText="1"/>
      <protection locked="0"/>
    </xf>
    <xf numFmtId="0" fontId="18" fillId="0" borderId="54" xfId="0" applyFont="1" applyBorder="1" applyAlignment="1" applyProtection="1">
      <alignment horizontal="left" vertical="top" wrapText="1"/>
      <protection locked="0"/>
    </xf>
    <xf numFmtId="0" fontId="18" fillId="0" borderId="52" xfId="0" applyFont="1" applyBorder="1" applyAlignment="1" applyProtection="1">
      <alignment horizontal="left" vertical="top"/>
      <protection locked="0"/>
    </xf>
    <xf numFmtId="0" fontId="18" fillId="0" borderId="55" xfId="0" applyFont="1" applyBorder="1" applyAlignment="1" applyProtection="1">
      <alignment horizontal="left" vertical="top"/>
      <protection locked="0"/>
    </xf>
    <xf numFmtId="0" fontId="18" fillId="0" borderId="25" xfId="0" applyFont="1" applyBorder="1" applyAlignment="1" applyProtection="1">
      <alignment horizontal="left" vertical="top" wrapText="1"/>
      <protection locked="0"/>
    </xf>
    <xf numFmtId="0" fontId="18" fillId="0" borderId="24" xfId="0" applyFont="1" applyBorder="1" applyAlignment="1" applyProtection="1">
      <alignment horizontal="left" vertical="top" wrapText="1"/>
      <protection locked="0"/>
    </xf>
    <xf numFmtId="0" fontId="18" fillId="0" borderId="35" xfId="0" applyFont="1" applyBorder="1" applyAlignment="1" applyProtection="1">
      <alignment horizontal="left" vertical="top"/>
      <protection locked="0"/>
    </xf>
    <xf numFmtId="0" fontId="18" fillId="0" borderId="50" xfId="0" applyFont="1" applyBorder="1" applyAlignment="1" applyProtection="1">
      <alignment horizontal="left" vertical="top"/>
      <protection locked="0"/>
    </xf>
    <xf numFmtId="0" fontId="18" fillId="0" borderId="16" xfId="0" applyFont="1" applyBorder="1" applyAlignment="1" applyProtection="1">
      <alignment horizontal="left" vertical="top" wrapText="1"/>
      <protection locked="0"/>
    </xf>
    <xf numFmtId="0" fontId="18" fillId="0" borderId="31" xfId="0" applyFont="1" applyBorder="1" applyAlignment="1" applyProtection="1">
      <alignment horizontal="left" vertical="top" wrapText="1"/>
      <protection locked="0"/>
    </xf>
    <xf numFmtId="0" fontId="18" fillId="0" borderId="17" xfId="0" applyFont="1" applyBorder="1" applyAlignment="1" applyProtection="1">
      <alignment horizontal="left"/>
      <protection locked="0"/>
    </xf>
    <xf numFmtId="0" fontId="18" fillId="0" borderId="36" xfId="0" applyFont="1" applyBorder="1" applyAlignment="1" applyProtection="1">
      <alignment horizontal="left"/>
      <protection locked="0"/>
    </xf>
    <xf numFmtId="0" fontId="18" fillId="0" borderId="48" xfId="0" applyFont="1" applyBorder="1" applyAlignment="1" applyProtection="1">
      <alignment horizontal="left"/>
      <protection locked="0"/>
    </xf>
    <xf numFmtId="0" fontId="18" fillId="0" borderId="5" xfId="0" applyFont="1" applyBorder="1" applyAlignment="1" applyProtection="1">
      <alignment horizontal="center"/>
      <protection locked="0"/>
    </xf>
    <xf numFmtId="0" fontId="18" fillId="0" borderId="6" xfId="0" applyFont="1" applyBorder="1" applyAlignment="1" applyProtection="1">
      <alignment horizontal="center"/>
      <protection locked="0"/>
    </xf>
    <xf numFmtId="0" fontId="17" fillId="0" borderId="25" xfId="0" applyFont="1" applyBorder="1" applyAlignment="1" applyProtection="1">
      <alignment wrapText="1"/>
      <protection locked="0"/>
    </xf>
    <xf numFmtId="0" fontId="10" fillId="0" borderId="23" xfId="0" applyFont="1" applyBorder="1" applyAlignment="1" applyProtection="1">
      <alignment wrapText="1"/>
      <protection locked="0"/>
    </xf>
    <xf numFmtId="0" fontId="10" fillId="0" borderId="24" xfId="0" applyFont="1" applyBorder="1" applyAlignment="1" applyProtection="1">
      <alignment wrapText="1"/>
      <protection locked="0"/>
    </xf>
    <xf numFmtId="0" fontId="10" fillId="0" borderId="30" xfId="0" applyFont="1" applyBorder="1" applyAlignment="1" applyProtection="1">
      <alignment wrapText="1"/>
      <protection locked="0"/>
    </xf>
    <xf numFmtId="0" fontId="10" fillId="0" borderId="0" xfId="0" applyFont="1" applyAlignment="1" applyProtection="1">
      <alignment wrapText="1"/>
      <protection locked="0"/>
    </xf>
    <xf numFmtId="0" fontId="10" fillId="0" borderId="26" xfId="0" applyFont="1" applyBorder="1" applyAlignment="1" applyProtection="1">
      <alignment wrapText="1"/>
      <protection locked="0"/>
    </xf>
    <xf numFmtId="0" fontId="18" fillId="0" borderId="40" xfId="0" applyFont="1" applyBorder="1" applyAlignment="1" applyProtection="1">
      <alignment horizontal="left" vertical="top" wrapText="1"/>
      <protection locked="0"/>
    </xf>
    <xf numFmtId="0" fontId="18" fillId="0" borderId="23" xfId="0" applyFont="1" applyBorder="1" applyAlignment="1" applyProtection="1">
      <alignment horizontal="left" vertical="top" wrapText="1"/>
      <protection locked="0"/>
    </xf>
    <xf numFmtId="0" fontId="18" fillId="0" borderId="41" xfId="0" applyFont="1" applyBorder="1" applyAlignment="1" applyProtection="1">
      <alignment horizontal="left" vertical="top" wrapText="1"/>
      <protection locked="0"/>
    </xf>
    <xf numFmtId="0" fontId="18" fillId="0" borderId="0" xfId="0" applyFont="1" applyAlignment="1" applyProtection="1">
      <alignment horizontal="left" vertical="top" wrapText="1"/>
      <protection locked="0"/>
    </xf>
    <xf numFmtId="0" fontId="18" fillId="0" borderId="43" xfId="0" applyFont="1" applyBorder="1" applyAlignment="1" applyProtection="1">
      <alignment horizontal="left" vertical="top" wrapText="1"/>
      <protection locked="0"/>
    </xf>
    <xf numFmtId="0" fontId="18" fillId="0" borderId="44" xfId="0" applyFont="1" applyBorder="1" applyAlignment="1" applyProtection="1">
      <alignment horizontal="left" vertical="top" wrapText="1"/>
      <protection locked="0"/>
    </xf>
    <xf numFmtId="0" fontId="18" fillId="0" borderId="45" xfId="0" applyFont="1" applyBorder="1" applyAlignment="1" applyProtection="1">
      <alignment horizontal="left" vertical="top" wrapText="1"/>
      <protection locked="0"/>
    </xf>
    <xf numFmtId="0" fontId="18" fillId="0" borderId="47" xfId="0" applyFont="1" applyBorder="1" applyAlignment="1" applyProtection="1">
      <alignment horizontal="left"/>
      <protection locked="0"/>
    </xf>
    <xf numFmtId="0" fontId="18" fillId="0" borderId="49" xfId="0" applyFont="1" applyBorder="1" applyAlignment="1" applyProtection="1">
      <alignment horizontal="left"/>
      <protection locked="0"/>
    </xf>
    <xf numFmtId="0" fontId="5" fillId="0" borderId="5" xfId="0" applyFont="1" applyBorder="1" applyAlignment="1" applyProtection="1">
      <alignment horizontal="left" wrapText="1"/>
      <protection locked="0"/>
    </xf>
    <xf numFmtId="0" fontId="5" fillId="0" borderId="5" xfId="0" applyFont="1" applyBorder="1" applyAlignment="1" applyProtection="1">
      <alignment horizontal="center"/>
      <protection locked="0"/>
    </xf>
    <xf numFmtId="0" fontId="17" fillId="0" borderId="25" xfId="0" applyFont="1" applyBorder="1" applyAlignment="1" applyProtection="1">
      <alignment horizontal="center" vertical="center" wrapText="1"/>
      <protection locked="0"/>
    </xf>
    <xf numFmtId="0" fontId="17" fillId="0" borderId="24" xfId="0" applyFont="1" applyBorder="1" applyAlignment="1" applyProtection="1">
      <alignment horizontal="center" vertical="center" wrapText="1"/>
      <protection locked="0"/>
    </xf>
    <xf numFmtId="0" fontId="17" fillId="0" borderId="30" xfId="0" applyFont="1" applyBorder="1" applyAlignment="1" applyProtection="1">
      <alignment horizontal="center" vertical="center" wrapText="1"/>
      <protection locked="0"/>
    </xf>
    <xf numFmtId="0" fontId="17" fillId="0" borderId="26" xfId="0" applyFont="1" applyBorder="1" applyAlignment="1" applyProtection="1">
      <alignment horizontal="center" vertical="center" wrapText="1"/>
      <protection locked="0"/>
    </xf>
    <xf numFmtId="0" fontId="17" fillId="0" borderId="19" xfId="0" applyFont="1" applyBorder="1" applyAlignment="1" applyProtection="1">
      <alignment horizontal="center" vertical="center" wrapText="1"/>
      <protection locked="0"/>
    </xf>
    <xf numFmtId="0" fontId="17" fillId="0" borderId="20" xfId="0" applyFont="1" applyBorder="1" applyAlignment="1" applyProtection="1">
      <alignment horizontal="center" vertical="center" wrapText="1"/>
      <protection locked="0"/>
    </xf>
    <xf numFmtId="0" fontId="18" fillId="0" borderId="5" xfId="0" applyFont="1" applyBorder="1" applyAlignment="1" applyProtection="1">
      <alignment horizontal="left" vertical="top" wrapText="1"/>
      <protection locked="0"/>
    </xf>
    <xf numFmtId="0" fontId="18" fillId="0" borderId="5" xfId="0" applyFont="1" applyBorder="1" applyAlignment="1" applyProtection="1">
      <alignment horizontal="center" vertical="top" wrapText="1"/>
      <protection locked="0"/>
    </xf>
    <xf numFmtId="0" fontId="26" fillId="0" borderId="67" xfId="0" applyFont="1" applyBorder="1" applyAlignment="1">
      <alignment horizontal="center" vertical="center" wrapText="1"/>
    </xf>
    <xf numFmtId="0" fontId="26" fillId="0" borderId="66" xfId="0" applyFont="1" applyBorder="1" applyAlignment="1">
      <alignment horizontal="center" vertical="center" wrapText="1"/>
    </xf>
    <xf numFmtId="0" fontId="23" fillId="0" borderId="60" xfId="0" applyFont="1" applyBorder="1" applyAlignment="1">
      <alignment horizontal="center" vertical="center" wrapText="1"/>
    </xf>
    <xf numFmtId="0" fontId="25" fillId="0" borderId="61" xfId="0" applyFont="1" applyBorder="1" applyAlignment="1">
      <alignment vertical="center" wrapText="1"/>
    </xf>
    <xf numFmtId="0" fontId="26" fillId="0" borderId="72" xfId="0" applyFont="1" applyBorder="1" applyAlignment="1">
      <alignment vertical="center" wrapText="1"/>
    </xf>
    <xf numFmtId="0" fontId="27" fillId="0" borderId="61" xfId="0" applyFont="1" applyBorder="1" applyAlignment="1">
      <alignment vertical="center" wrapText="1"/>
    </xf>
    <xf numFmtId="0" fontId="26" fillId="0" borderId="71" xfId="0" applyFont="1" applyBorder="1" applyAlignment="1">
      <alignment vertical="center" wrapText="1"/>
    </xf>
    <xf numFmtId="0" fontId="26" fillId="0" borderId="61" xfId="0" applyFont="1" applyBorder="1" applyAlignment="1">
      <alignment horizontal="left" vertical="center" wrapText="1"/>
    </xf>
    <xf numFmtId="0" fontId="27" fillId="0" borderId="71" xfId="0" applyFont="1" applyBorder="1" applyAlignment="1">
      <alignment vertical="center" wrapText="1"/>
    </xf>
    <xf numFmtId="0" fontId="26" fillId="0" borderId="71" xfId="0" applyFont="1" applyBorder="1" applyAlignment="1">
      <alignment horizontal="left" vertical="center" wrapText="1"/>
    </xf>
    <xf numFmtId="0" fontId="26" fillId="0" borderId="61" xfId="0" applyFont="1" applyBorder="1" applyAlignment="1">
      <alignment vertical="center" wrapText="1"/>
    </xf>
    <xf numFmtId="0" fontId="27" fillId="0" borderId="72" xfId="0" applyFont="1" applyBorder="1" applyAlignment="1">
      <alignment vertical="center" wrapText="1"/>
    </xf>
    <xf numFmtId="0" fontId="24" fillId="0" borderId="21" xfId="0" applyFont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 wrapText="1"/>
    </xf>
    <xf numFmtId="0" fontId="24" fillId="0" borderId="56" xfId="0" applyFont="1" applyBorder="1" applyAlignment="1">
      <alignment horizontal="center" vertical="center" wrapText="1"/>
    </xf>
    <xf numFmtId="0" fontId="24" fillId="0" borderId="57" xfId="0" applyFont="1" applyBorder="1" applyAlignment="1">
      <alignment horizontal="center" vertical="center" wrapText="1"/>
    </xf>
    <xf numFmtId="0" fontId="24" fillId="0" borderId="58" xfId="0" applyFont="1" applyBorder="1" applyAlignment="1">
      <alignment horizontal="center" vertical="center" wrapText="1"/>
    </xf>
    <xf numFmtId="0" fontId="24" fillId="0" borderId="59" xfId="0" applyFont="1" applyBorder="1" applyAlignment="1">
      <alignment horizontal="center" vertical="center" wrapText="1"/>
    </xf>
    <xf numFmtId="0" fontId="27" fillId="0" borderId="64" xfId="0" applyFont="1" applyBorder="1" applyAlignment="1">
      <alignment horizontal="center" vertical="center" wrapText="1"/>
    </xf>
    <xf numFmtId="0" fontId="23" fillId="0" borderId="21" xfId="0" applyFont="1" applyBorder="1" applyAlignment="1">
      <alignment horizontal="left" vertical="top" wrapText="1"/>
    </xf>
    <xf numFmtId="0" fontId="23" fillId="0" borderId="22" xfId="0" applyFont="1" applyBorder="1" applyAlignment="1">
      <alignment horizontal="left" vertical="top" wrapText="1"/>
    </xf>
    <xf numFmtId="0" fontId="23" fillId="0" borderId="56" xfId="0" applyFont="1" applyBorder="1" applyAlignment="1">
      <alignment horizontal="left" vertical="top" wrapText="1"/>
    </xf>
    <xf numFmtId="0" fontId="23" fillId="0" borderId="57" xfId="0" applyFont="1" applyBorder="1" applyAlignment="1">
      <alignment horizontal="left" vertical="top" wrapText="1"/>
    </xf>
    <xf numFmtId="0" fontId="23" fillId="0" borderId="58" xfId="0" applyFont="1" applyBorder="1" applyAlignment="1">
      <alignment horizontal="left" vertical="top" wrapText="1"/>
    </xf>
    <xf numFmtId="0" fontId="23" fillId="0" borderId="59" xfId="0" applyFont="1" applyBorder="1" applyAlignment="1">
      <alignment horizontal="left" vertical="top" wrapText="1"/>
    </xf>
    <xf numFmtId="0" fontId="27" fillId="0" borderId="62" xfId="0" applyFont="1" applyBorder="1" applyAlignment="1">
      <alignment horizontal="center" vertical="center" wrapText="1"/>
    </xf>
    <xf numFmtId="0" fontId="27" fillId="0" borderId="63" xfId="0" applyFont="1" applyBorder="1" applyAlignment="1">
      <alignment horizontal="center" vertical="center" wrapText="1"/>
    </xf>
    <xf numFmtId="0" fontId="21" fillId="0" borderId="77" xfId="0" applyFont="1" applyBorder="1" applyAlignment="1">
      <alignment horizontal="left" vertical="top"/>
    </xf>
    <xf numFmtId="0" fontId="21" fillId="0" borderId="75" xfId="0" applyFont="1" applyBorder="1" applyAlignment="1">
      <alignment horizontal="left" vertical="top"/>
    </xf>
    <xf numFmtId="0" fontId="21" fillId="0" borderId="79" xfId="0" applyFont="1" applyBorder="1" applyAlignment="1">
      <alignment horizontal="left" vertical="top"/>
    </xf>
    <xf numFmtId="0" fontId="21" fillId="0" borderId="80" xfId="0" applyFont="1" applyBorder="1" applyAlignment="1">
      <alignment horizontal="left" vertical="top"/>
    </xf>
    <xf numFmtId="0" fontId="17" fillId="0" borderId="0" xfId="0" applyFont="1" applyAlignment="1">
      <alignment horizontal="left" wrapText="1"/>
    </xf>
    <xf numFmtId="0" fontId="18" fillId="0" borderId="73" xfId="0" applyFont="1" applyBorder="1" applyAlignment="1"/>
    <xf numFmtId="0" fontId="18" fillId="0" borderId="74" xfId="0" applyFont="1" applyBorder="1" applyAlignment="1"/>
    <xf numFmtId="0" fontId="18" fillId="0" borderId="75" xfId="0" applyFont="1" applyBorder="1" applyAlignment="1"/>
    <xf numFmtId="0" fontId="18" fillId="0" borderId="17" xfId="0" applyFont="1" applyBorder="1" applyAlignment="1">
      <alignment horizontal="left"/>
    </xf>
    <xf numFmtId="0" fontId="18" fillId="0" borderId="36" xfId="0" applyFont="1" applyBorder="1" applyAlignment="1">
      <alignment horizontal="left"/>
    </xf>
    <xf numFmtId="0" fontId="18" fillId="0" borderId="48" xfId="0" applyFont="1" applyBorder="1" applyAlignment="1">
      <alignment horizontal="left"/>
    </xf>
    <xf numFmtId="0" fontId="18" fillId="0" borderId="4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" fillId="0" borderId="35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33" fillId="0" borderId="35" xfId="0" applyFont="1" applyBorder="1" applyAlignment="1">
      <alignment horizontal="center" vertical="center"/>
    </xf>
    <xf numFmtId="0" fontId="33" fillId="0" borderId="37" xfId="0" applyFont="1" applyBorder="1" applyAlignment="1">
      <alignment horizontal="center" vertical="center"/>
    </xf>
    <xf numFmtId="0" fontId="33" fillId="0" borderId="27" xfId="0" applyFont="1" applyBorder="1" applyAlignment="1">
      <alignment horizontal="center"/>
    </xf>
    <xf numFmtId="0" fontId="0" fillId="14" borderId="0" xfId="0" applyFill="1">
      <alignment vertical="center"/>
    </xf>
    <xf numFmtId="0" fontId="0" fillId="0" borderId="81" xfId="0" applyBorder="1">
      <alignment vertical="center"/>
    </xf>
    <xf numFmtId="0" fontId="0" fillId="0" borderId="82" xfId="0" applyBorder="1">
      <alignment vertical="center"/>
    </xf>
    <xf numFmtId="0" fontId="0" fillId="0" borderId="83" xfId="0" applyBorder="1">
      <alignment vertical="center"/>
    </xf>
    <xf numFmtId="0" fontId="0" fillId="0" borderId="0" xfId="0" applyFill="1">
      <alignment vertical="center"/>
    </xf>
  </cellXfs>
  <cellStyles count="3">
    <cellStyle name="Normal" xfId="0" builtinId="0"/>
    <cellStyle name="Normal_FICHA TIPO NUEVO" xfId="2"/>
    <cellStyle name="Normal_HELADO VARADERO COPPELIA  1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L36"/>
  <sheetViews>
    <sheetView workbookViewId="0">
      <selection activeCell="Q27" sqref="Q27"/>
    </sheetView>
  </sheetViews>
  <sheetFormatPr baseColWidth="10" defaultColWidth="11.5703125" defaultRowHeight="15"/>
  <cols>
    <col min="2" max="2" width="1.140625" customWidth="1"/>
    <col min="3" max="3" width="1.5703125" customWidth="1"/>
    <col min="7" max="7" width="2.140625" customWidth="1"/>
    <col min="11" max="11" width="1.5703125" customWidth="1"/>
    <col min="12" max="12" width="1" customWidth="1"/>
  </cols>
  <sheetData>
    <row r="4" spans="2:12">
      <c r="C4" s="438"/>
      <c r="D4" s="438"/>
      <c r="E4" s="438"/>
      <c r="F4" s="438"/>
      <c r="G4" s="438"/>
      <c r="H4" s="438"/>
      <c r="I4" s="438"/>
      <c r="J4" s="438"/>
      <c r="K4" s="438"/>
    </row>
    <row r="5" spans="2:12" ht="15.75" thickBot="1">
      <c r="C5" s="438"/>
      <c r="D5" s="439"/>
      <c r="E5" s="439"/>
      <c r="F5" s="439"/>
      <c r="G5" s="438"/>
      <c r="H5" s="439"/>
      <c r="I5" s="439"/>
      <c r="J5" s="439"/>
      <c r="K5" s="438"/>
    </row>
    <row r="6" spans="2:12" ht="16.5" thickTop="1" thickBot="1">
      <c r="B6" s="285"/>
      <c r="C6" s="438"/>
      <c r="D6" s="440"/>
      <c r="E6" s="440"/>
      <c r="F6" s="440"/>
      <c r="G6" s="438"/>
      <c r="H6" s="440"/>
      <c r="I6" s="440"/>
      <c r="J6" s="440"/>
      <c r="K6" s="438"/>
      <c r="L6" s="285"/>
    </row>
    <row r="7" spans="2:12" ht="16.5" thickTop="1" thickBot="1">
      <c r="C7" s="438"/>
      <c r="D7" s="440"/>
      <c r="E7" s="440"/>
      <c r="F7" s="440"/>
      <c r="G7" s="438"/>
      <c r="H7" s="440"/>
      <c r="I7" s="440"/>
      <c r="J7" s="440"/>
      <c r="K7" s="438"/>
    </row>
    <row r="8" spans="2:12" ht="16.5" thickTop="1" thickBot="1">
      <c r="C8" s="438"/>
      <c r="D8" s="440"/>
      <c r="E8" s="440"/>
      <c r="F8" s="440"/>
      <c r="G8" s="438"/>
      <c r="H8" s="440"/>
      <c r="I8" s="440"/>
      <c r="J8" s="440"/>
      <c r="K8" s="438"/>
    </row>
    <row r="9" spans="2:12" ht="15.75" thickTop="1">
      <c r="C9" s="438"/>
      <c r="D9" s="441"/>
      <c r="E9" s="441"/>
      <c r="F9" s="441"/>
      <c r="G9" s="438"/>
      <c r="H9" s="441"/>
      <c r="I9" s="441"/>
      <c r="J9" s="441"/>
      <c r="K9" s="438"/>
    </row>
    <row r="10" spans="2:12">
      <c r="C10" s="438"/>
      <c r="D10" s="438"/>
      <c r="E10" s="438"/>
      <c r="F10" s="438"/>
      <c r="G10" s="438"/>
      <c r="H10" s="438"/>
      <c r="I10" s="438"/>
      <c r="J10" s="438"/>
      <c r="K10" s="438"/>
    </row>
    <row r="11" spans="2:12">
      <c r="B11" s="285"/>
      <c r="C11" s="438"/>
      <c r="D11" s="438"/>
      <c r="E11" s="438"/>
      <c r="F11" s="438"/>
      <c r="G11" s="438"/>
      <c r="H11" s="438"/>
      <c r="I11" s="438"/>
      <c r="J11" s="438"/>
      <c r="K11" s="438"/>
      <c r="L11" s="285"/>
    </row>
    <row r="12" spans="2:12" ht="15.75" thickBot="1">
      <c r="C12" s="438"/>
      <c r="D12" s="439"/>
      <c r="E12" s="439"/>
      <c r="F12" s="439"/>
      <c r="G12" s="438"/>
      <c r="H12" s="439"/>
      <c r="I12" s="439"/>
      <c r="J12" s="439"/>
      <c r="K12" s="438"/>
    </row>
    <row r="13" spans="2:12" ht="16.5" thickTop="1" thickBot="1">
      <c r="C13" s="438"/>
      <c r="D13" s="440"/>
      <c r="E13" s="440"/>
      <c r="F13" s="440"/>
      <c r="G13" s="438"/>
      <c r="H13" s="440"/>
      <c r="I13" s="440"/>
      <c r="J13" s="440"/>
      <c r="K13" s="438"/>
    </row>
    <row r="14" spans="2:12" ht="16.5" thickTop="1" thickBot="1">
      <c r="C14" s="438"/>
      <c r="D14" s="440"/>
      <c r="E14" s="440"/>
      <c r="F14" s="440"/>
      <c r="G14" s="438"/>
      <c r="H14" s="440"/>
      <c r="I14" s="440"/>
      <c r="J14" s="440"/>
      <c r="K14" s="438"/>
    </row>
    <row r="15" spans="2:12" ht="16.5" thickTop="1" thickBot="1">
      <c r="C15" s="438"/>
      <c r="D15" s="440"/>
      <c r="E15" s="440"/>
      <c r="F15" s="440"/>
      <c r="G15" s="438"/>
      <c r="H15" s="440"/>
      <c r="I15" s="440"/>
      <c r="J15" s="440"/>
      <c r="K15" s="438"/>
    </row>
    <row r="16" spans="2:12" ht="16.5" thickTop="1" thickBot="1">
      <c r="C16" s="438"/>
      <c r="D16" s="440"/>
      <c r="E16" s="440"/>
      <c r="F16" s="440"/>
      <c r="G16" s="438"/>
      <c r="H16" s="440"/>
      <c r="I16" s="440"/>
      <c r="J16" s="440"/>
      <c r="K16" s="438"/>
    </row>
    <row r="17" spans="2:12" ht="16.5" thickTop="1" thickBot="1">
      <c r="C17" s="438"/>
      <c r="D17" s="440"/>
      <c r="E17" s="440"/>
      <c r="F17" s="440"/>
      <c r="G17" s="438"/>
      <c r="H17" s="440"/>
      <c r="I17" s="440"/>
      <c r="J17" s="440"/>
      <c r="K17" s="438"/>
    </row>
    <row r="18" spans="2:12" ht="16.5" thickTop="1" thickBot="1">
      <c r="C18" s="438"/>
      <c r="D18" s="440"/>
      <c r="E18" s="440"/>
      <c r="F18" s="440"/>
      <c r="G18" s="438"/>
      <c r="H18" s="440"/>
      <c r="I18" s="440"/>
      <c r="J18" s="440"/>
      <c r="K18" s="438"/>
    </row>
    <row r="19" spans="2:12" ht="16.5" thickTop="1" thickBot="1">
      <c r="B19" s="285"/>
      <c r="C19" s="438"/>
      <c r="D19" s="440"/>
      <c r="E19" s="440"/>
      <c r="F19" s="440"/>
      <c r="G19" s="438"/>
      <c r="H19" s="440"/>
      <c r="I19" s="440"/>
      <c r="J19" s="440"/>
      <c r="K19" s="438"/>
      <c r="L19" s="285"/>
    </row>
    <row r="20" spans="2:12" ht="16.5" thickTop="1" thickBot="1">
      <c r="C20" s="438"/>
      <c r="D20" s="440"/>
      <c r="E20" s="440"/>
      <c r="F20" s="440"/>
      <c r="G20" s="438"/>
      <c r="H20" s="440"/>
      <c r="I20" s="440"/>
      <c r="J20" s="440"/>
      <c r="K20" s="438"/>
    </row>
    <row r="21" spans="2:12" ht="13.5" customHeight="1" thickTop="1">
      <c r="C21" s="438"/>
      <c r="D21" s="441"/>
      <c r="E21" s="441"/>
      <c r="F21" s="441"/>
      <c r="G21" s="438"/>
      <c r="H21" s="441"/>
      <c r="I21" s="441"/>
      <c r="J21" s="441"/>
      <c r="K21" s="438"/>
    </row>
    <row r="22" spans="2:12">
      <c r="C22" s="438"/>
      <c r="D22" s="438"/>
      <c r="E22" s="438"/>
      <c r="F22" s="438"/>
      <c r="G22" s="438"/>
      <c r="H22" s="438"/>
      <c r="I22" s="438"/>
      <c r="J22" s="438"/>
      <c r="K22" s="438"/>
    </row>
    <row r="23" spans="2:12">
      <c r="B23" s="442"/>
      <c r="C23" s="438"/>
      <c r="D23" s="438"/>
      <c r="E23" s="438"/>
      <c r="F23" s="438"/>
      <c r="G23" s="438"/>
      <c r="H23" s="438"/>
      <c r="I23" s="438"/>
      <c r="J23" s="438"/>
      <c r="K23" s="438"/>
      <c r="L23" s="442"/>
    </row>
    <row r="24" spans="2:12" ht="15.75" thickBot="1">
      <c r="C24" s="438"/>
      <c r="D24" s="439"/>
      <c r="E24" s="439"/>
      <c r="F24" s="439"/>
      <c r="G24" s="438"/>
      <c r="H24" s="439"/>
      <c r="I24" s="439"/>
      <c r="J24" s="439"/>
      <c r="K24" s="438"/>
    </row>
    <row r="25" spans="2:12" ht="16.5" thickTop="1" thickBot="1">
      <c r="C25" s="438"/>
      <c r="D25" s="440"/>
      <c r="E25" s="440"/>
      <c r="F25" s="440"/>
      <c r="G25" s="438"/>
      <c r="H25" s="440"/>
      <c r="I25" s="440"/>
      <c r="J25" s="440"/>
      <c r="K25" s="438"/>
    </row>
    <row r="26" spans="2:12" ht="16.5" thickTop="1" thickBot="1">
      <c r="C26" s="438"/>
      <c r="D26" s="440"/>
      <c r="E26" s="440"/>
      <c r="F26" s="440"/>
      <c r="G26" s="438"/>
      <c r="H26" s="440"/>
      <c r="I26" s="440"/>
      <c r="J26" s="440"/>
      <c r="K26" s="438"/>
    </row>
    <row r="27" spans="2:12" ht="16.5" thickTop="1" thickBot="1">
      <c r="B27" s="285"/>
      <c r="C27" s="438"/>
      <c r="D27" s="440"/>
      <c r="E27" s="440"/>
      <c r="F27" s="440"/>
      <c r="G27" s="438"/>
      <c r="H27" s="440"/>
      <c r="I27" s="440"/>
      <c r="J27" s="440"/>
      <c r="K27" s="438"/>
      <c r="L27" s="285"/>
    </row>
    <row r="28" spans="2:12" ht="16.5" thickTop="1" thickBot="1">
      <c r="C28" s="438"/>
      <c r="D28" s="440"/>
      <c r="E28" s="440"/>
      <c r="F28" s="440"/>
      <c r="G28" s="438"/>
      <c r="H28" s="440"/>
      <c r="I28" s="440"/>
      <c r="J28" s="440"/>
      <c r="K28" s="438"/>
    </row>
    <row r="29" spans="2:12" ht="16.5" thickTop="1" thickBot="1">
      <c r="C29" s="438"/>
      <c r="D29" s="440"/>
      <c r="E29" s="440"/>
      <c r="F29" s="440"/>
      <c r="G29" s="438"/>
      <c r="H29" s="440"/>
      <c r="I29" s="440"/>
      <c r="J29" s="440"/>
      <c r="K29" s="438"/>
    </row>
    <row r="30" spans="2:12" ht="16.5" thickTop="1" thickBot="1">
      <c r="C30" s="438"/>
      <c r="D30" s="440"/>
      <c r="E30" s="440"/>
      <c r="F30" s="440"/>
      <c r="G30" s="438"/>
      <c r="H30" s="440"/>
      <c r="I30" s="440"/>
      <c r="J30" s="440"/>
      <c r="K30" s="438"/>
    </row>
    <row r="31" spans="2:12" ht="16.5" thickTop="1" thickBot="1">
      <c r="C31" s="438"/>
      <c r="D31" s="440"/>
      <c r="E31" s="440"/>
      <c r="F31" s="440"/>
      <c r="G31" s="438"/>
      <c r="H31" s="440"/>
      <c r="I31" s="440"/>
      <c r="J31" s="440"/>
      <c r="K31" s="438"/>
    </row>
    <row r="32" spans="2:12" ht="16.5" thickTop="1" thickBot="1">
      <c r="C32" s="438"/>
      <c r="D32" s="440"/>
      <c r="E32" s="440"/>
      <c r="F32" s="440"/>
      <c r="G32" s="438"/>
      <c r="H32" s="440"/>
      <c r="I32" s="440"/>
      <c r="J32" s="440"/>
      <c r="K32" s="438"/>
    </row>
    <row r="33" spans="2:12" ht="16.5" thickTop="1" thickBot="1">
      <c r="C33" s="438"/>
      <c r="D33" s="440"/>
      <c r="E33" s="440"/>
      <c r="F33" s="440"/>
      <c r="G33" s="438"/>
      <c r="H33" s="440"/>
      <c r="I33" s="440"/>
      <c r="J33" s="440"/>
      <c r="K33" s="438"/>
    </row>
    <row r="34" spans="2:12" ht="15.75" thickTop="1">
      <c r="C34" s="438"/>
      <c r="D34" s="441"/>
      <c r="E34" s="441"/>
      <c r="F34" s="441"/>
      <c r="G34" s="438"/>
      <c r="H34" s="441"/>
      <c r="I34" s="441"/>
      <c r="J34" s="441"/>
      <c r="K34" s="438"/>
    </row>
    <row r="35" spans="2:12">
      <c r="B35" s="285"/>
      <c r="C35" s="438"/>
      <c r="D35" s="438"/>
      <c r="E35" s="438"/>
      <c r="F35" s="438"/>
      <c r="G35" s="438"/>
      <c r="H35" s="438"/>
      <c r="I35" s="438"/>
      <c r="J35" s="438"/>
      <c r="K35" s="438"/>
      <c r="L35" s="285"/>
    </row>
    <row r="36" spans="2:12">
      <c r="C36" s="438"/>
      <c r="D36" s="438"/>
      <c r="E36" s="438"/>
      <c r="F36" s="438"/>
      <c r="G36" s="438"/>
      <c r="H36" s="438"/>
      <c r="I36" s="438"/>
      <c r="J36" s="438"/>
      <c r="K36" s="438"/>
      <c r="L36" s="442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tabSelected="1" topLeftCell="A28" zoomScaleNormal="100" workbookViewId="0">
      <selection activeCell="D45" sqref="D45"/>
    </sheetView>
  </sheetViews>
  <sheetFormatPr baseColWidth="10" defaultColWidth="9" defaultRowHeight="15"/>
  <cols>
    <col min="1" max="1" width="50.42578125" customWidth="1"/>
    <col min="2" max="2" width="38" customWidth="1"/>
    <col min="3" max="3" width="32.42578125" customWidth="1"/>
    <col min="4" max="4" width="11.28515625" customWidth="1"/>
    <col min="5" max="7" width="10" customWidth="1"/>
    <col min="8" max="8" width="22.7109375" customWidth="1"/>
    <col min="9" max="256" width="10" customWidth="1"/>
  </cols>
  <sheetData>
    <row r="1" spans="1:11" ht="16.5" customHeight="1">
      <c r="A1" s="286" t="s">
        <v>112</v>
      </c>
      <c r="B1" s="287"/>
      <c r="C1" s="288"/>
    </row>
    <row r="2" spans="1:11" ht="15.75" customHeight="1">
      <c r="A2" s="289"/>
      <c r="B2" s="290"/>
      <c r="C2" s="291"/>
    </row>
    <row r="3" spans="1:11" ht="7.5" customHeight="1">
      <c r="A3" s="292"/>
      <c r="B3" s="293"/>
      <c r="C3" s="294"/>
    </row>
    <row r="4" spans="1:11" ht="31.5" customHeight="1">
      <c r="A4" s="295" t="s">
        <v>196</v>
      </c>
      <c r="B4" s="296"/>
      <c r="C4" s="297"/>
    </row>
    <row r="5" spans="1:11" ht="31.5" customHeight="1">
      <c r="A5" s="295" t="s">
        <v>143</v>
      </c>
      <c r="B5" s="296"/>
      <c r="C5" s="297"/>
      <c r="J5">
        <v>900</v>
      </c>
      <c r="K5">
        <v>2100</v>
      </c>
    </row>
    <row r="6" spans="1:11" ht="18" customHeight="1">
      <c r="A6" s="300" t="s">
        <v>269</v>
      </c>
      <c r="B6" s="301"/>
      <c r="C6" s="1" t="s">
        <v>161</v>
      </c>
    </row>
    <row r="7" spans="1:11" ht="18" customHeight="1">
      <c r="A7" s="298" t="s">
        <v>162</v>
      </c>
      <c r="B7" s="299"/>
      <c r="C7" s="2" t="s">
        <v>142</v>
      </c>
    </row>
    <row r="8" spans="1:11" ht="18" customHeight="1">
      <c r="A8" s="298" t="s">
        <v>187</v>
      </c>
      <c r="B8" s="299"/>
      <c r="C8" s="2" t="s">
        <v>163</v>
      </c>
    </row>
    <row r="9" spans="1:11" ht="18" customHeight="1">
      <c r="A9" s="298" t="s">
        <v>164</v>
      </c>
      <c r="B9" s="299"/>
      <c r="C9" s="2" t="s">
        <v>165</v>
      </c>
    </row>
    <row r="10" spans="1:11" ht="30" customHeight="1">
      <c r="A10" s="3" t="s">
        <v>0</v>
      </c>
      <c r="B10" s="3" t="s">
        <v>1</v>
      </c>
      <c r="C10" s="4" t="s">
        <v>166</v>
      </c>
    </row>
    <row r="11" spans="1:11" ht="15.75" customHeight="1">
      <c r="A11" s="5" t="s">
        <v>168</v>
      </c>
      <c r="B11" s="5" t="s">
        <v>169</v>
      </c>
      <c r="C11" s="5" t="s">
        <v>167</v>
      </c>
    </row>
    <row r="12" spans="1:11" ht="15.75" customHeight="1">
      <c r="A12" s="6" t="s">
        <v>170</v>
      </c>
      <c r="B12" s="7">
        <v>1</v>
      </c>
      <c r="C12" s="8">
        <f>SUM(C13:C16)</f>
        <v>62686.756454712435</v>
      </c>
    </row>
    <row r="13" spans="1:11" ht="15" customHeight="1">
      <c r="A13" s="9" t="s">
        <v>178</v>
      </c>
      <c r="B13" s="10">
        <v>1.1000000000000001</v>
      </c>
      <c r="C13" s="11">
        <f>'Consumo Material'!F49</f>
        <v>62686.589946942433</v>
      </c>
    </row>
    <row r="14" spans="1:11" ht="15" customHeight="1">
      <c r="A14" s="9" t="s">
        <v>175</v>
      </c>
      <c r="B14" s="10">
        <v>1.2</v>
      </c>
      <c r="C14" s="11">
        <f>'Consumo Material'!F39</f>
        <v>0</v>
      </c>
    </row>
    <row r="15" spans="1:11" ht="15" customHeight="1">
      <c r="A15" s="9" t="s">
        <v>30</v>
      </c>
      <c r="B15" s="10">
        <v>1.3</v>
      </c>
      <c r="C15" s="11">
        <f>'Consumo Material'!F40</f>
        <v>0.16650777</v>
      </c>
    </row>
    <row r="16" spans="1:11" ht="15" customHeight="1">
      <c r="A16" s="9" t="s">
        <v>31</v>
      </c>
      <c r="B16" s="10" t="s">
        <v>284</v>
      </c>
      <c r="C16" s="11">
        <f>'Consumo Material'!F41</f>
        <v>0</v>
      </c>
      <c r="D16">
        <v>5.8</v>
      </c>
      <c r="G16">
        <v>32.74</v>
      </c>
    </row>
    <row r="17" spans="1:10" ht="15.75">
      <c r="A17" s="12" t="s">
        <v>171</v>
      </c>
      <c r="B17" s="13">
        <v>2</v>
      </c>
      <c r="C17" s="14">
        <f>'Salarios Directos '!E34+'Salarios Directos '!E1*9.09%</f>
        <v>1382.8125000000005</v>
      </c>
    </row>
    <row r="18" spans="1:10" ht="15" customHeight="1">
      <c r="A18" s="9" t="s">
        <v>179</v>
      </c>
      <c r="B18" s="10">
        <v>2.1</v>
      </c>
      <c r="C18" s="11">
        <f>'Salarios Directos '!E14</f>
        <v>0</v>
      </c>
      <c r="D18">
        <v>4</v>
      </c>
    </row>
    <row r="19" spans="1:10" ht="15.75">
      <c r="A19" s="12" t="s">
        <v>4</v>
      </c>
      <c r="B19" s="13">
        <v>3</v>
      </c>
      <c r="C19" s="14">
        <f>'Otros Gastos Directos '!B13</f>
        <v>7056.8512615092077</v>
      </c>
      <c r="D19">
        <v>16</v>
      </c>
    </row>
    <row r="20" spans="1:10" ht="15.75">
      <c r="A20" s="12" t="s">
        <v>5</v>
      </c>
      <c r="B20" s="13">
        <v>4</v>
      </c>
      <c r="C20" s="14">
        <f>'Coeficientes(Gastos Indirectos)'!C8</f>
        <v>843.51562500000023</v>
      </c>
    </row>
    <row r="21" spans="1:10" ht="15" customHeight="1">
      <c r="A21" s="15" t="s">
        <v>181</v>
      </c>
      <c r="B21" s="16">
        <v>4.0999999999999996</v>
      </c>
      <c r="C21" s="17">
        <f>'Coeficientes(Gastos Indirectos)'!C12</f>
        <v>69.140625000000028</v>
      </c>
      <c r="D21">
        <v>5.5</v>
      </c>
    </row>
    <row r="22" spans="1:10" ht="15" customHeight="1">
      <c r="A22" s="15" t="s">
        <v>182</v>
      </c>
      <c r="B22" s="16">
        <v>4.2</v>
      </c>
      <c r="C22" s="17">
        <f>'Coeficientes(Gastos Indirectos)'!C10</f>
        <v>96.796875000000043</v>
      </c>
      <c r="D22">
        <v>16.3</v>
      </c>
    </row>
    <row r="23" spans="1:10" ht="15.75">
      <c r="A23" s="12" t="s">
        <v>98</v>
      </c>
      <c r="B23" s="13">
        <v>5</v>
      </c>
      <c r="C23" s="14">
        <f>SUM(C12,C17,C19,C20, )</f>
        <v>71969.935841221639</v>
      </c>
      <c r="D23">
        <v>10.8</v>
      </c>
    </row>
    <row r="24" spans="1:10" ht="15.75">
      <c r="A24" s="12" t="s">
        <v>6</v>
      </c>
      <c r="B24" s="13">
        <v>6</v>
      </c>
      <c r="C24" s="14">
        <f>'Coeficientes(Gastos Indirectos)'!C26</f>
        <v>497.81250000000017</v>
      </c>
    </row>
    <row r="25" spans="1:10" ht="15" customHeight="1">
      <c r="A25" s="15" t="s">
        <v>181</v>
      </c>
      <c r="B25" s="18" t="s">
        <v>183</v>
      </c>
      <c r="C25" s="19">
        <f>'Coeficientes(Gastos Indirectos)'!C30</f>
        <v>55.312500000000021</v>
      </c>
    </row>
    <row r="26" spans="1:10" ht="15" customHeight="1">
      <c r="A26" s="15" t="s">
        <v>182</v>
      </c>
      <c r="B26" s="18" t="s">
        <v>184</v>
      </c>
      <c r="C26" s="19">
        <f>'Coeficientes(Gastos Indirectos)'!C28</f>
        <v>110.62500000000004</v>
      </c>
      <c r="D26">
        <v>12</v>
      </c>
    </row>
    <row r="27" spans="1:10" ht="15.75">
      <c r="A27" s="12" t="s">
        <v>7</v>
      </c>
      <c r="B27" s="13">
        <v>7</v>
      </c>
      <c r="C27" s="14">
        <f>'Coeficientes(Gastos Indirectos)'!C17</f>
        <v>41.484375000000014</v>
      </c>
      <c r="G27">
        <v>16.73</v>
      </c>
    </row>
    <row r="28" spans="1:10" ht="15" customHeight="1">
      <c r="A28" s="9" t="s">
        <v>3</v>
      </c>
      <c r="B28" s="10">
        <v>7.1</v>
      </c>
      <c r="C28" s="11">
        <f>'Coeficientes(Gastos Indirectos)'!C30</f>
        <v>55.312500000000021</v>
      </c>
    </row>
    <row r="29" spans="1:10" ht="15" customHeight="1">
      <c r="A29" s="9" t="s">
        <v>175</v>
      </c>
      <c r="B29" s="10">
        <v>7.2</v>
      </c>
      <c r="C29" s="11">
        <f>'Coeficientes(Gastos Indirectos)'!C28</f>
        <v>110.62500000000004</v>
      </c>
    </row>
    <row r="30" spans="1:10" ht="15.75">
      <c r="A30" s="12" t="s">
        <v>8</v>
      </c>
      <c r="B30" s="13">
        <v>8</v>
      </c>
      <c r="C30" s="14">
        <f>'Gastos Financieros '!D29</f>
        <v>0</v>
      </c>
      <c r="D30">
        <f>(0.72*1.3)*1.1</f>
        <v>1.0296000000000001</v>
      </c>
      <c r="G30">
        <v>9.65</v>
      </c>
      <c r="J30">
        <v>440</v>
      </c>
    </row>
    <row r="31" spans="1:10" ht="32.25" customHeight="1">
      <c r="A31" s="20" t="s">
        <v>176</v>
      </c>
      <c r="B31" s="21" t="s">
        <v>285</v>
      </c>
      <c r="C31" s="11">
        <v>0</v>
      </c>
      <c r="D31">
        <f>(0.72*0.61)</f>
        <v>0.43919999999999998</v>
      </c>
    </row>
    <row r="32" spans="1:10" ht="15.75">
      <c r="A32" s="22" t="s">
        <v>9</v>
      </c>
      <c r="B32" s="23">
        <v>10</v>
      </c>
      <c r="C32" s="24">
        <f>(C17+C21+C25+C28)*12.5%</f>
        <v>195.32226562500006</v>
      </c>
    </row>
    <row r="33" spans="1:8" ht="15.75">
      <c r="A33" s="22" t="s">
        <v>10</v>
      </c>
      <c r="B33" s="23">
        <v>11</v>
      </c>
      <c r="C33" s="24">
        <f>(C17+C21+C25+C28)*1.5%</f>
        <v>23.438671875000004</v>
      </c>
    </row>
    <row r="34" spans="1:8" ht="31.5">
      <c r="A34" s="22" t="s">
        <v>11</v>
      </c>
      <c r="B34" s="23">
        <v>12</v>
      </c>
      <c r="C34" s="24">
        <f>(C17+C21+C25+C28)*5%</f>
        <v>78.128906250000028</v>
      </c>
    </row>
    <row r="35" spans="1:8" ht="15.75">
      <c r="A35" s="20" t="s">
        <v>12</v>
      </c>
      <c r="B35" s="21">
        <v>15</v>
      </c>
      <c r="C35" s="11">
        <v>0</v>
      </c>
    </row>
    <row r="36" spans="1:8" ht="15.75">
      <c r="A36" s="20" t="s">
        <v>13</v>
      </c>
      <c r="B36" s="21">
        <v>16</v>
      </c>
      <c r="C36" s="11">
        <v>0</v>
      </c>
    </row>
    <row r="37" spans="1:8" ht="16.5" thickBot="1">
      <c r="A37" s="25" t="s">
        <v>14</v>
      </c>
      <c r="B37" s="21">
        <v>17</v>
      </c>
      <c r="C37" s="11">
        <f>C24+C27+C30+C31+C32+C33+C34+C35+C36</f>
        <v>836.18671875000018</v>
      </c>
      <c r="F37" s="245" t="s">
        <v>174</v>
      </c>
    </row>
    <row r="38" spans="1:8" ht="16.5" thickBot="1">
      <c r="A38" s="25" t="s">
        <v>186</v>
      </c>
      <c r="B38" s="181">
        <v>44213</v>
      </c>
      <c r="C38" s="182">
        <f>C23+C37</f>
        <v>72806.122559971642</v>
      </c>
      <c r="D38" s="264" t="s">
        <v>270</v>
      </c>
      <c r="E38" s="258">
        <f>C38/120</f>
        <v>606.71768799976371</v>
      </c>
      <c r="F38" s="258">
        <f>E38/F41</f>
        <v>116.49725192007752</v>
      </c>
    </row>
    <row r="39" spans="1:8" ht="15.75">
      <c r="A39" s="25" t="s">
        <v>15</v>
      </c>
      <c r="B39" s="21">
        <v>18</v>
      </c>
      <c r="C39" s="26">
        <v>50</v>
      </c>
      <c r="E39" s="184"/>
      <c r="F39" s="184"/>
    </row>
    <row r="40" spans="1:8" ht="16.5" thickBot="1">
      <c r="A40" s="25" t="s">
        <v>16</v>
      </c>
      <c r="B40" s="21">
        <v>19</v>
      </c>
      <c r="C40" s="26">
        <f>(C23*C39)/100</f>
        <v>35984.967920610819</v>
      </c>
      <c r="E40" s="184"/>
      <c r="F40" s="256" t="s">
        <v>174</v>
      </c>
      <c r="G40" s="245" t="s">
        <v>261</v>
      </c>
    </row>
    <row r="41" spans="1:8" ht="16.5" thickBot="1">
      <c r="A41" s="27" t="s">
        <v>17</v>
      </c>
      <c r="B41" s="28">
        <v>20</v>
      </c>
      <c r="C41" s="11">
        <f>C23+C37+C40</f>
        <v>108791.09048058247</v>
      </c>
      <c r="D41" s="264" t="s">
        <v>245</v>
      </c>
      <c r="E41" s="258">
        <f>C41/120</f>
        <v>906.59242067152059</v>
      </c>
      <c r="F41" s="187">
        <f>'Consumo Material'!J6*'Consumo Material'!K6</f>
        <v>5.2080000000000002</v>
      </c>
      <c r="G41" s="260">
        <f>E41/F41</f>
        <v>174.07688568961609</v>
      </c>
      <c r="H41" s="261" t="s">
        <v>264</v>
      </c>
    </row>
    <row r="42" spans="1:8" ht="16.5" thickBot="1">
      <c r="A42" s="220" t="s">
        <v>263</v>
      </c>
      <c r="B42" s="21">
        <v>21</v>
      </c>
      <c r="C42" s="11">
        <f>C41/0.94</f>
        <v>115735.20263891753</v>
      </c>
      <c r="D42" s="245"/>
      <c r="E42" s="259"/>
      <c r="F42" s="187"/>
      <c r="G42" s="260"/>
      <c r="H42" s="262">
        <f>C42-C41</f>
        <v>6944.1121583350614</v>
      </c>
    </row>
    <row r="43" spans="1:8" ht="16.5" thickBot="1">
      <c r="A43" s="220" t="s">
        <v>192</v>
      </c>
      <c r="B43" s="28">
        <v>22</v>
      </c>
      <c r="C43" s="11">
        <f>C42/0.9</f>
        <v>128594.66959879725</v>
      </c>
      <c r="D43" s="257">
        <f>(C43/120)+'Consumo Material'!K33</f>
        <v>1071.6222466566437</v>
      </c>
      <c r="E43" s="281">
        <f>D43/0.97</f>
        <v>1104.7652027388081</v>
      </c>
      <c r="F43" s="278">
        <f>E43/0.9</f>
        <v>1227.516891932009</v>
      </c>
      <c r="G43" s="263">
        <f>D43/F41</f>
        <v>205.76464029505448</v>
      </c>
    </row>
    <row r="44" spans="1:8" ht="38.25" customHeight="1" thickBot="1">
      <c r="A44" s="29" t="s">
        <v>193</v>
      </c>
      <c r="B44" s="29" t="s">
        <v>180</v>
      </c>
      <c r="C44" s="30" t="s">
        <v>21</v>
      </c>
      <c r="E44" s="188"/>
      <c r="F44" s="188"/>
    </row>
    <row r="45" spans="1:8" ht="36" customHeight="1">
      <c r="A45" s="29" t="s">
        <v>194</v>
      </c>
      <c r="B45" s="29" t="s">
        <v>180</v>
      </c>
      <c r="C45" s="30" t="s">
        <v>21</v>
      </c>
    </row>
    <row r="46" spans="1:8" ht="36" customHeight="1">
      <c r="A46" s="31" t="s">
        <v>195</v>
      </c>
      <c r="B46" s="29" t="s">
        <v>180</v>
      </c>
      <c r="C46" s="32" t="s">
        <v>21</v>
      </c>
    </row>
    <row r="50" spans="3:3">
      <c r="C50" s="33"/>
    </row>
    <row r="51" spans="3:3">
      <c r="C51" s="33"/>
    </row>
    <row r="52" spans="3:3">
      <c r="C52" s="33"/>
    </row>
  </sheetData>
  <mergeCells count="7">
    <mergeCell ref="A1:C3"/>
    <mergeCell ref="A4:C4"/>
    <mergeCell ref="A9:B9"/>
    <mergeCell ref="A6:B6"/>
    <mergeCell ref="A5:C5"/>
    <mergeCell ref="A7:B7"/>
    <mergeCell ref="A8:B8"/>
  </mergeCells>
  <pageMargins left="0.7" right="0.7" top="0.75" bottom="0.75" header="0.3" footer="0.3"/>
  <pageSetup paperSize="9" scale="7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53"/>
  <sheetViews>
    <sheetView topLeftCell="A10" zoomScale="84" zoomScaleNormal="84" workbookViewId="0">
      <selection activeCell="L44" sqref="L44"/>
    </sheetView>
  </sheetViews>
  <sheetFormatPr baseColWidth="10" defaultColWidth="9" defaultRowHeight="15"/>
  <cols>
    <col min="1" max="1" width="22" style="34" customWidth="1"/>
    <col min="2" max="2" width="95" style="35" bestFit="1" customWidth="1"/>
    <col min="3" max="3" width="10.5703125" style="35" customWidth="1"/>
    <col min="4" max="4" width="16.28515625" style="35" customWidth="1"/>
    <col min="5" max="5" width="15.28515625" style="186" customWidth="1"/>
    <col min="6" max="6" width="14.42578125" style="35" customWidth="1"/>
    <col min="7" max="7" width="9.5703125" style="35" customWidth="1"/>
    <col min="8" max="8" width="9.42578125" style="35" customWidth="1"/>
    <col min="9" max="9" width="11.7109375" style="35" customWidth="1"/>
    <col min="10" max="18" width="11.42578125" style="35" customWidth="1"/>
    <col min="19" max="19" width="15.140625" style="35" customWidth="1"/>
    <col min="20" max="256" width="11.42578125" style="35" customWidth="1"/>
  </cols>
  <sheetData>
    <row r="1" spans="1:11" ht="18">
      <c r="A1" s="334"/>
      <c r="B1" s="335"/>
      <c r="C1" s="335"/>
      <c r="D1" s="36"/>
      <c r="E1" s="307"/>
      <c r="F1" s="308"/>
    </row>
    <row r="2" spans="1:11" ht="12" customHeight="1">
      <c r="A2" s="336" t="s">
        <v>19</v>
      </c>
      <c r="B2" s="337"/>
      <c r="C2" s="337"/>
      <c r="D2" s="337"/>
      <c r="E2" s="309"/>
      <c r="F2" s="310"/>
    </row>
    <row r="3" spans="1:11" ht="13.5" customHeight="1" thickBot="1">
      <c r="A3" s="338"/>
      <c r="B3" s="339"/>
      <c r="C3" s="339"/>
      <c r="D3" s="339"/>
      <c r="E3" s="311"/>
      <c r="F3" s="312"/>
    </row>
    <row r="4" spans="1:11" ht="24.75" customHeight="1" thickBot="1">
      <c r="A4" s="319" t="s">
        <v>123</v>
      </c>
      <c r="B4" s="320"/>
      <c r="C4" s="320"/>
      <c r="D4" s="320"/>
      <c r="E4" s="320"/>
      <c r="F4" s="321"/>
      <c r="J4" s="186" t="s">
        <v>188</v>
      </c>
      <c r="K4" s="186" t="s">
        <v>189</v>
      </c>
    </row>
    <row r="5" spans="1:11">
      <c r="A5" s="340" t="s">
        <v>124</v>
      </c>
      <c r="B5" s="341"/>
      <c r="C5" s="341"/>
      <c r="D5" s="330"/>
      <c r="E5" s="330"/>
      <c r="F5" s="331"/>
      <c r="J5" s="35">
        <v>2480</v>
      </c>
      <c r="K5" s="35">
        <v>2100</v>
      </c>
    </row>
    <row r="6" spans="1:11" ht="15.75" thickBot="1">
      <c r="A6" s="342"/>
      <c r="B6" s="343"/>
      <c r="C6" s="343"/>
      <c r="D6" s="332"/>
      <c r="E6" s="332"/>
      <c r="F6" s="333"/>
      <c r="J6" s="218">
        <f>J5/1000</f>
        <v>2.48</v>
      </c>
      <c r="K6" s="218">
        <f>K5/1000</f>
        <v>2.1</v>
      </c>
    </row>
    <row r="7" spans="1:11" ht="15.75" customHeight="1" thickBot="1">
      <c r="A7" s="316" t="s">
        <v>125</v>
      </c>
      <c r="B7" s="317"/>
      <c r="C7" s="317"/>
      <c r="D7" s="317"/>
      <c r="E7" s="317"/>
      <c r="F7" s="318"/>
      <c r="K7" s="35">
        <f>J6*K6</f>
        <v>5.2080000000000002</v>
      </c>
    </row>
    <row r="8" spans="1:11" ht="18.75" customHeight="1" thickBot="1">
      <c r="A8" s="327" t="s">
        <v>99</v>
      </c>
      <c r="B8" s="304" t="s">
        <v>100</v>
      </c>
      <c r="C8" s="313" t="s">
        <v>85</v>
      </c>
      <c r="D8" s="322" t="s">
        <v>101</v>
      </c>
      <c r="E8" s="323"/>
      <c r="F8" s="324"/>
    </row>
    <row r="9" spans="1:11" ht="21" customHeight="1">
      <c r="A9" s="328"/>
      <c r="B9" s="305"/>
      <c r="C9" s="314"/>
      <c r="D9" s="325" t="s">
        <v>2</v>
      </c>
      <c r="E9" s="326"/>
      <c r="F9" s="37"/>
    </row>
    <row r="10" spans="1:11" ht="37.5" customHeight="1" thickBot="1">
      <c r="A10" s="329"/>
      <c r="B10" s="306"/>
      <c r="C10" s="315"/>
      <c r="D10" s="38" t="s">
        <v>86</v>
      </c>
      <c r="E10" s="39" t="s">
        <v>149</v>
      </c>
      <c r="F10" s="38" t="s">
        <v>148</v>
      </c>
    </row>
    <row r="11" spans="1:11" s="40" customFormat="1" ht="15.75" customHeight="1" thickBot="1">
      <c r="A11" s="41">
        <v>1</v>
      </c>
      <c r="B11" s="42">
        <v>2</v>
      </c>
      <c r="C11" s="43">
        <v>3</v>
      </c>
      <c r="D11" s="42">
        <v>9</v>
      </c>
      <c r="E11" s="189" t="s">
        <v>102</v>
      </c>
      <c r="F11" s="42" t="s">
        <v>103</v>
      </c>
    </row>
    <row r="12" spans="1:11" ht="18" customHeight="1">
      <c r="A12" s="221"/>
      <c r="B12" s="44" t="s">
        <v>172</v>
      </c>
      <c r="C12" s="45"/>
      <c r="D12" s="45"/>
      <c r="E12" s="222"/>
      <c r="F12" s="223"/>
      <c r="G12" s="237" t="s">
        <v>207</v>
      </c>
      <c r="H12" s="238" t="s">
        <v>206</v>
      </c>
      <c r="I12" t="s">
        <v>244</v>
      </c>
      <c r="J12" s="35" t="s">
        <v>206</v>
      </c>
    </row>
    <row r="13" spans="1:11" ht="18" customHeight="1">
      <c r="A13" s="224" t="s">
        <v>210</v>
      </c>
      <c r="B13" s="219" t="s">
        <v>209</v>
      </c>
      <c r="C13" s="46" t="s">
        <v>277</v>
      </c>
      <c r="D13" s="225">
        <v>7.2</v>
      </c>
      <c r="E13" s="240">
        <f>J13</f>
        <v>448.9655172413793</v>
      </c>
      <c r="F13" s="192">
        <f>D13*E13</f>
        <v>3232.5517241379312</v>
      </c>
      <c r="G13" s="241">
        <v>21.7</v>
      </c>
      <c r="H13" s="190">
        <f>G13*120</f>
        <v>2604</v>
      </c>
      <c r="I13" s="190">
        <f>G13/5.8</f>
        <v>3.7413793103448274</v>
      </c>
      <c r="J13" s="190">
        <f>I13*120</f>
        <v>448.9655172413793</v>
      </c>
    </row>
    <row r="14" spans="1:11" ht="18" customHeight="1">
      <c r="A14" s="226" t="s">
        <v>211</v>
      </c>
      <c r="B14" s="227" t="s">
        <v>212</v>
      </c>
      <c r="C14" s="46" t="s">
        <v>277</v>
      </c>
      <c r="D14" s="225">
        <v>11.6</v>
      </c>
      <c r="E14" s="240">
        <f t="shared" ref="E14:E17" si="0">J14</f>
        <v>798.62068965517244</v>
      </c>
      <c r="F14" s="192">
        <f t="shared" ref="F14:F31" si="1">D14*E14</f>
        <v>9264</v>
      </c>
      <c r="G14" s="241">
        <v>38.6</v>
      </c>
      <c r="H14" s="190">
        <f t="shared" ref="H14:H34" si="2">G14*120</f>
        <v>4632</v>
      </c>
      <c r="I14" s="190">
        <f t="shared" ref="I14:I17" si="3">G14/5.8</f>
        <v>6.6551724137931041</v>
      </c>
      <c r="J14" s="190">
        <f t="shared" ref="J14:J17" si="4">I14*120</f>
        <v>798.62068965517244</v>
      </c>
    </row>
    <row r="15" spans="1:11" ht="18" customHeight="1">
      <c r="A15" s="226" t="s">
        <v>282</v>
      </c>
      <c r="B15" s="227" t="s">
        <v>281</v>
      </c>
      <c r="C15" s="46" t="s">
        <v>277</v>
      </c>
      <c r="D15" s="225">
        <v>34.799999999999997</v>
      </c>
      <c r="E15" s="240">
        <f t="shared" ref="E15" si="5">J15</f>
        <v>702.62068965517244</v>
      </c>
      <c r="F15" s="192">
        <f t="shared" ref="F15" si="6">D15*E15</f>
        <v>24451.200000000001</v>
      </c>
      <c r="G15" s="241">
        <v>33.96</v>
      </c>
      <c r="H15" s="190">
        <f t="shared" ref="H15" si="7">G15*120</f>
        <v>4075.2000000000003</v>
      </c>
      <c r="I15" s="190">
        <f t="shared" ref="I15" si="8">G15/5.8</f>
        <v>5.8551724137931034</v>
      </c>
      <c r="J15" s="190">
        <f t="shared" ref="J15" si="9">I15*120</f>
        <v>702.62068965517244</v>
      </c>
    </row>
    <row r="16" spans="1:11" ht="18" customHeight="1">
      <c r="A16" s="226"/>
      <c r="B16" s="227" t="s">
        <v>288</v>
      </c>
      <c r="C16" s="46" t="s">
        <v>277</v>
      </c>
      <c r="D16" s="225">
        <v>2.06</v>
      </c>
      <c r="E16" s="240">
        <f t="shared" ref="E16" si="10">J16</f>
        <v>552.41379310344837</v>
      </c>
      <c r="F16" s="192">
        <f t="shared" ref="F16" si="11">D16*E16</f>
        <v>1137.9724137931037</v>
      </c>
      <c r="G16" s="241">
        <v>26.7</v>
      </c>
      <c r="H16" s="190">
        <f t="shared" ref="H16" si="12">G16*120</f>
        <v>3204</v>
      </c>
      <c r="I16" s="190">
        <f t="shared" ref="I16" si="13">G16/5.8</f>
        <v>4.6034482758620694</v>
      </c>
      <c r="J16" s="190">
        <f t="shared" ref="J16" si="14">I16*120</f>
        <v>552.41379310344837</v>
      </c>
    </row>
    <row r="17" spans="1:256" ht="18" customHeight="1">
      <c r="A17" s="226" t="s">
        <v>213</v>
      </c>
      <c r="B17" s="227" t="s">
        <v>287</v>
      </c>
      <c r="C17" s="46" t="s">
        <v>277</v>
      </c>
      <c r="D17" s="225">
        <v>6.9</v>
      </c>
      <c r="E17" s="240">
        <f t="shared" si="0"/>
        <v>852.41379310344837</v>
      </c>
      <c r="F17" s="192">
        <f t="shared" si="1"/>
        <v>5881.6551724137944</v>
      </c>
      <c r="G17" s="241">
        <v>41.2</v>
      </c>
      <c r="H17" s="190">
        <f t="shared" si="2"/>
        <v>4944</v>
      </c>
      <c r="I17" s="190">
        <f t="shared" si="3"/>
        <v>7.1034482758620694</v>
      </c>
      <c r="J17" s="190">
        <f t="shared" si="4"/>
        <v>852.41379310344837</v>
      </c>
    </row>
    <row r="18" spans="1:256" ht="18" customHeight="1">
      <c r="A18" s="228"/>
      <c r="B18" s="97" t="s">
        <v>278</v>
      </c>
      <c r="C18" s="46"/>
      <c r="D18" s="225"/>
      <c r="E18" s="191"/>
      <c r="F18" s="192">
        <f t="shared" si="1"/>
        <v>0</v>
      </c>
      <c r="G18" s="40"/>
      <c r="H18" s="190"/>
      <c r="M18" s="35" t="s">
        <v>217</v>
      </c>
      <c r="N18" s="35" t="s">
        <v>218</v>
      </c>
      <c r="P18" s="35" t="s">
        <v>243</v>
      </c>
      <c r="R18" s="35" t="s">
        <v>218</v>
      </c>
    </row>
    <row r="19" spans="1:256" ht="18" customHeight="1">
      <c r="A19" s="229" t="s">
        <v>214</v>
      </c>
      <c r="B19" s="232" t="s">
        <v>204</v>
      </c>
      <c r="C19" s="230" t="s">
        <v>173</v>
      </c>
      <c r="D19" s="231">
        <v>10</v>
      </c>
      <c r="E19" s="191">
        <f>H19</f>
        <v>362.4</v>
      </c>
      <c r="F19" s="192">
        <f t="shared" si="1"/>
        <v>3624</v>
      </c>
      <c r="G19" s="40">
        <v>3.02</v>
      </c>
      <c r="H19" s="190">
        <f t="shared" si="2"/>
        <v>362.4</v>
      </c>
      <c r="K19" s="35" t="s">
        <v>215</v>
      </c>
      <c r="M19" s="35">
        <v>1250</v>
      </c>
      <c r="N19" s="248">
        <f>M19*120</f>
        <v>150000</v>
      </c>
      <c r="P19" s="35" t="s">
        <v>219</v>
      </c>
      <c r="Q19" s="35">
        <v>59290.77</v>
      </c>
      <c r="R19" s="35">
        <f>Q19*120</f>
        <v>7114892.3999999994</v>
      </c>
    </row>
    <row r="20" spans="1:256" ht="18" customHeight="1" thickBot="1">
      <c r="A20" s="229" t="s">
        <v>222</v>
      </c>
      <c r="B20" s="227" t="s">
        <v>221</v>
      </c>
      <c r="C20" s="230" t="s">
        <v>173</v>
      </c>
      <c r="D20" s="231">
        <v>24</v>
      </c>
      <c r="E20" s="191">
        <f t="shared" ref="E20:E31" si="15">H20</f>
        <v>7.1999999999999993</v>
      </c>
      <c r="F20" s="192">
        <f t="shared" si="1"/>
        <v>172.79999999999998</v>
      </c>
      <c r="G20" s="40">
        <v>0.06</v>
      </c>
      <c r="H20" s="190">
        <f t="shared" si="2"/>
        <v>7.1999999999999993</v>
      </c>
      <c r="I20"/>
      <c r="K20" s="35" t="s">
        <v>216</v>
      </c>
      <c r="N20" s="248">
        <v>707721</v>
      </c>
      <c r="P20" s="35" t="s">
        <v>220</v>
      </c>
      <c r="Q20" s="35">
        <v>25879.94</v>
      </c>
      <c r="R20" s="35">
        <f>Q20*120</f>
        <v>3105592.8</v>
      </c>
    </row>
    <row r="21" spans="1:256" ht="18" customHeight="1" thickBot="1">
      <c r="A21" s="229" t="s">
        <v>223</v>
      </c>
      <c r="B21" s="232" t="s">
        <v>224</v>
      </c>
      <c r="C21" s="230" t="s">
        <v>173</v>
      </c>
      <c r="D21" s="231">
        <v>0</v>
      </c>
      <c r="E21" s="191">
        <f t="shared" si="15"/>
        <v>27.6</v>
      </c>
      <c r="F21" s="192">
        <f t="shared" si="1"/>
        <v>0</v>
      </c>
      <c r="G21" s="40">
        <v>0.23</v>
      </c>
      <c r="H21" s="190">
        <f t="shared" si="2"/>
        <v>27.6</v>
      </c>
      <c r="I21"/>
      <c r="J21" s="248">
        <v>120000</v>
      </c>
      <c r="K21" s="35" t="s">
        <v>247</v>
      </c>
      <c r="N21" s="248">
        <f>N19+N20</f>
        <v>857721</v>
      </c>
      <c r="R21" s="242">
        <f>R19+R20</f>
        <v>10220485.199999999</v>
      </c>
    </row>
    <row r="22" spans="1:256" ht="18" customHeight="1" thickBot="1">
      <c r="A22" s="232" t="s">
        <v>228</v>
      </c>
      <c r="B22" s="232" t="s">
        <v>227</v>
      </c>
      <c r="C22" s="230" t="s">
        <v>277</v>
      </c>
      <c r="D22" s="233">
        <v>11.5</v>
      </c>
      <c r="E22" s="191">
        <f t="shared" si="15"/>
        <v>45.6</v>
      </c>
      <c r="F22" s="192">
        <f t="shared" si="1"/>
        <v>524.4</v>
      </c>
      <c r="G22" s="40">
        <v>0.38</v>
      </c>
      <c r="H22" s="190">
        <f t="shared" si="2"/>
        <v>45.6</v>
      </c>
      <c r="K22" s="35">
        <v>1</v>
      </c>
      <c r="N22" s="249">
        <f>N21+120000</f>
        <v>977721</v>
      </c>
    </row>
    <row r="23" spans="1:256" ht="18" customHeight="1">
      <c r="A23" s="232" t="s">
        <v>226</v>
      </c>
      <c r="B23" s="232" t="s">
        <v>225</v>
      </c>
      <c r="C23" s="230" t="s">
        <v>277</v>
      </c>
      <c r="D23" s="233">
        <v>22.15</v>
      </c>
      <c r="E23" s="191">
        <f t="shared" si="15"/>
        <v>45.6</v>
      </c>
      <c r="F23" s="192">
        <f t="shared" si="1"/>
        <v>1010.04</v>
      </c>
      <c r="G23" s="191">
        <v>0.38</v>
      </c>
      <c r="H23" s="190">
        <f t="shared" si="2"/>
        <v>45.6</v>
      </c>
      <c r="P23" s="35" t="s">
        <v>230</v>
      </c>
      <c r="S23" s="35" t="s">
        <v>250</v>
      </c>
    </row>
    <row r="24" spans="1:256" ht="18" customHeight="1">
      <c r="A24" s="232" t="s">
        <v>229</v>
      </c>
      <c r="B24" s="232" t="s">
        <v>227</v>
      </c>
      <c r="C24" s="230" t="s">
        <v>277</v>
      </c>
      <c r="D24" s="233">
        <v>16.149999999999999</v>
      </c>
      <c r="E24" s="191">
        <f t="shared" si="15"/>
        <v>45.6</v>
      </c>
      <c r="F24" s="192">
        <f t="shared" si="1"/>
        <v>736.43999999999994</v>
      </c>
      <c r="G24" s="191">
        <v>0.38</v>
      </c>
      <c r="H24" s="190">
        <f t="shared" si="2"/>
        <v>45.6</v>
      </c>
      <c r="L24" s="309" t="s">
        <v>248</v>
      </c>
      <c r="M24" s="309"/>
      <c r="N24" s="309"/>
      <c r="O24" s="35">
        <f>N21/R21</f>
        <v>8.3921749624959102E-2</v>
      </c>
      <c r="P24" s="35">
        <f>O24*100</f>
        <v>8.3921749624959094</v>
      </c>
      <c r="Q24" s="309" t="s">
        <v>256</v>
      </c>
      <c r="R24" s="309"/>
      <c r="S24" s="248">
        <f>R21+N22</f>
        <v>11198206.199999999</v>
      </c>
      <c r="U24" s="247">
        <v>1</v>
      </c>
    </row>
    <row r="25" spans="1:256" ht="18" customHeight="1" thickBot="1">
      <c r="A25" s="232" t="s">
        <v>235</v>
      </c>
      <c r="B25" s="232" t="s">
        <v>232</v>
      </c>
      <c r="C25" s="234" t="s">
        <v>173</v>
      </c>
      <c r="D25" s="231">
        <v>4</v>
      </c>
      <c r="E25" s="191">
        <f t="shared" si="15"/>
        <v>63.6</v>
      </c>
      <c r="F25" s="192">
        <f t="shared" si="1"/>
        <v>254.4</v>
      </c>
      <c r="G25" s="239">
        <v>0.53</v>
      </c>
      <c r="H25" s="190">
        <f t="shared" si="2"/>
        <v>63.6</v>
      </c>
      <c r="J25" s="35" t="s">
        <v>233</v>
      </c>
      <c r="P25" s="35" t="s">
        <v>231</v>
      </c>
      <c r="Q25" s="309" t="s">
        <v>253</v>
      </c>
      <c r="R25" s="309"/>
      <c r="S25" s="248">
        <f>N22</f>
        <v>977721</v>
      </c>
      <c r="U25" s="35" t="s">
        <v>251</v>
      </c>
    </row>
    <row r="26" spans="1:256" ht="18" customHeight="1" thickBot="1">
      <c r="A26" s="232" t="s">
        <v>237</v>
      </c>
      <c r="B26" s="232" t="s">
        <v>236</v>
      </c>
      <c r="C26" s="230" t="s">
        <v>173</v>
      </c>
      <c r="D26" s="231">
        <v>2</v>
      </c>
      <c r="E26" s="191">
        <f t="shared" si="15"/>
        <v>44.4</v>
      </c>
      <c r="F26" s="192">
        <f t="shared" si="1"/>
        <v>88.8</v>
      </c>
      <c r="G26" s="239">
        <v>0.37</v>
      </c>
      <c r="H26" s="190">
        <f t="shared" si="2"/>
        <v>44.4</v>
      </c>
      <c r="J26" s="35" t="s">
        <v>234</v>
      </c>
      <c r="L26" s="309" t="s">
        <v>249</v>
      </c>
      <c r="M26" s="309"/>
      <c r="N26" s="309"/>
      <c r="O26" s="35">
        <f>N22/R21</f>
        <v>9.5662875183264301E-2</v>
      </c>
      <c r="P26" s="35">
        <f t="shared" ref="P26" si="16">O26*100</f>
        <v>9.5662875183264298</v>
      </c>
      <c r="Q26" s="309" t="s">
        <v>252</v>
      </c>
      <c r="R26" s="309"/>
      <c r="S26" s="309"/>
      <c r="T26" s="250">
        <f>S25/S24</f>
        <v>8.731050156943887E-2</v>
      </c>
    </row>
    <row r="27" spans="1:256" ht="18" customHeight="1">
      <c r="A27" s="232" t="s">
        <v>239</v>
      </c>
      <c r="B27" s="232" t="s">
        <v>238</v>
      </c>
      <c r="C27" s="230" t="s">
        <v>173</v>
      </c>
      <c r="D27" s="231">
        <v>24</v>
      </c>
      <c r="E27" s="191">
        <f t="shared" si="15"/>
        <v>4.8</v>
      </c>
      <c r="F27" s="192">
        <f t="shared" si="1"/>
        <v>115.19999999999999</v>
      </c>
      <c r="G27" s="191">
        <v>0.04</v>
      </c>
      <c r="H27" s="190">
        <f t="shared" si="2"/>
        <v>4.8</v>
      </c>
    </row>
    <row r="28" spans="1:256" ht="18" customHeight="1">
      <c r="A28" s="232" t="s">
        <v>240</v>
      </c>
      <c r="B28" s="232" t="s">
        <v>283</v>
      </c>
      <c r="C28" s="230" t="s">
        <v>173</v>
      </c>
      <c r="D28" s="231">
        <v>1</v>
      </c>
      <c r="E28" s="191">
        <f t="shared" si="15"/>
        <v>1896</v>
      </c>
      <c r="F28" s="192">
        <f t="shared" si="1"/>
        <v>1896</v>
      </c>
      <c r="G28" s="191">
        <v>15.8</v>
      </c>
      <c r="H28" s="190">
        <f t="shared" si="2"/>
        <v>1896</v>
      </c>
    </row>
    <row r="29" spans="1:256" ht="18" customHeight="1">
      <c r="A29" s="229"/>
      <c r="B29" s="232" t="s">
        <v>289</v>
      </c>
      <c r="C29" s="230" t="s">
        <v>173</v>
      </c>
      <c r="D29" s="231">
        <v>2</v>
      </c>
      <c r="E29" s="191">
        <f t="shared" si="15"/>
        <v>204</v>
      </c>
      <c r="F29" s="192">
        <f t="shared" si="1"/>
        <v>408</v>
      </c>
      <c r="G29" s="191">
        <v>1.7</v>
      </c>
      <c r="H29" s="190">
        <f t="shared" si="2"/>
        <v>204</v>
      </c>
      <c r="M29" s="35" t="s">
        <v>242</v>
      </c>
      <c r="N29" s="35">
        <v>20243.57</v>
      </c>
      <c r="O29" s="35">
        <f>120*N29</f>
        <v>2429228.4</v>
      </c>
      <c r="R29" s="35" t="s">
        <v>254</v>
      </c>
      <c r="T29" s="251">
        <f>N21/S24</f>
        <v>7.659449957261906E-2</v>
      </c>
    </row>
    <row r="30" spans="1:256" ht="18" customHeight="1">
      <c r="A30" s="229"/>
      <c r="B30" s="232" t="s">
        <v>205</v>
      </c>
      <c r="C30" s="230" t="s">
        <v>173</v>
      </c>
      <c r="D30" s="231">
        <v>6</v>
      </c>
      <c r="E30" s="191">
        <f t="shared" si="15"/>
        <v>0</v>
      </c>
      <c r="F30" s="192">
        <f t="shared" si="1"/>
        <v>0</v>
      </c>
      <c r="G30" s="191"/>
      <c r="H30" s="190">
        <f t="shared" si="2"/>
        <v>0</v>
      </c>
      <c r="R30" s="35" t="s">
        <v>255</v>
      </c>
      <c r="T30" s="251">
        <f>J21/S24</f>
        <v>1.0716001996819813E-2</v>
      </c>
    </row>
    <row r="31" spans="1:256" ht="18" customHeight="1">
      <c r="A31" s="229" t="s">
        <v>241</v>
      </c>
      <c r="B31" s="232" t="s">
        <v>279</v>
      </c>
      <c r="C31" s="230" t="s">
        <v>276</v>
      </c>
      <c r="D31" s="270">
        <v>0</v>
      </c>
      <c r="E31" s="191">
        <f t="shared" si="15"/>
        <v>1728</v>
      </c>
      <c r="F31" s="192">
        <f t="shared" si="1"/>
        <v>0</v>
      </c>
      <c r="G31" s="241">
        <v>14.4</v>
      </c>
      <c r="H31" s="190">
        <f t="shared" si="2"/>
        <v>1728</v>
      </c>
      <c r="J31" s="35">
        <v>440</v>
      </c>
    </row>
    <row r="32" spans="1:256" s="277" customFormat="1" ht="18" customHeight="1">
      <c r="A32" s="267"/>
      <c r="B32" s="268" t="s">
        <v>280</v>
      </c>
      <c r="C32" s="269" t="s">
        <v>276</v>
      </c>
      <c r="D32" s="270">
        <v>0</v>
      </c>
      <c r="E32" s="271"/>
      <c r="F32" s="272"/>
      <c r="G32" s="273"/>
      <c r="H32" s="274">
        <v>2857.14</v>
      </c>
      <c r="I32" s="275">
        <f>H32*D32</f>
        <v>0</v>
      </c>
      <c r="J32" s="275">
        <f>I32/J31</f>
        <v>0</v>
      </c>
      <c r="K32" s="276" t="s">
        <v>207</v>
      </c>
      <c r="L32" s="275"/>
      <c r="M32" s="275"/>
      <c r="N32" s="275"/>
      <c r="O32" s="275"/>
      <c r="P32" s="275"/>
      <c r="Q32" s="275"/>
      <c r="R32" s="275"/>
      <c r="S32" s="275"/>
      <c r="T32" s="275"/>
      <c r="U32" s="275"/>
      <c r="V32" s="275"/>
      <c r="W32" s="275"/>
      <c r="X32" s="275"/>
      <c r="Y32" s="275"/>
      <c r="Z32" s="275"/>
      <c r="AA32" s="275"/>
      <c r="AB32" s="275"/>
      <c r="AC32" s="275"/>
      <c r="AD32" s="275"/>
      <c r="AE32" s="275"/>
      <c r="AF32" s="275"/>
      <c r="AG32" s="275"/>
      <c r="AH32" s="275"/>
      <c r="AI32" s="275"/>
      <c r="AJ32" s="275"/>
      <c r="AK32" s="275"/>
      <c r="AL32" s="275"/>
      <c r="AM32" s="275"/>
      <c r="AN32" s="275"/>
      <c r="AO32" s="275"/>
      <c r="AP32" s="275"/>
      <c r="AQ32" s="275"/>
      <c r="AR32" s="275"/>
      <c r="AS32" s="275"/>
      <c r="AT32" s="275"/>
      <c r="AU32" s="275"/>
      <c r="AV32" s="275"/>
      <c r="AW32" s="275"/>
      <c r="AX32" s="275"/>
      <c r="AY32" s="275"/>
      <c r="AZ32" s="275"/>
      <c r="BA32" s="275"/>
      <c r="BB32" s="275"/>
      <c r="BC32" s="275"/>
      <c r="BD32" s="275"/>
      <c r="BE32" s="275"/>
      <c r="BF32" s="275"/>
      <c r="BG32" s="275"/>
      <c r="BH32" s="275"/>
      <c r="BI32" s="275"/>
      <c r="BJ32" s="275"/>
      <c r="BK32" s="275"/>
      <c r="BL32" s="275"/>
      <c r="BM32" s="275"/>
      <c r="BN32" s="275"/>
      <c r="BO32" s="275"/>
      <c r="BP32" s="275"/>
      <c r="BQ32" s="275"/>
      <c r="BR32" s="275"/>
      <c r="BS32" s="275"/>
      <c r="BT32" s="275"/>
      <c r="BU32" s="275"/>
      <c r="BV32" s="275"/>
      <c r="BW32" s="275"/>
      <c r="BX32" s="275"/>
      <c r="BY32" s="275"/>
      <c r="BZ32" s="275"/>
      <c r="CA32" s="275"/>
      <c r="CB32" s="275"/>
      <c r="CC32" s="275"/>
      <c r="CD32" s="275"/>
      <c r="CE32" s="275"/>
      <c r="CF32" s="275"/>
      <c r="CG32" s="275"/>
      <c r="CH32" s="275"/>
      <c r="CI32" s="275"/>
      <c r="CJ32" s="275"/>
      <c r="CK32" s="275"/>
      <c r="CL32" s="275"/>
      <c r="CM32" s="275"/>
      <c r="CN32" s="275"/>
      <c r="CO32" s="275"/>
      <c r="CP32" s="275"/>
      <c r="CQ32" s="275"/>
      <c r="CR32" s="275"/>
      <c r="CS32" s="275"/>
      <c r="CT32" s="275"/>
      <c r="CU32" s="275"/>
      <c r="CV32" s="275"/>
      <c r="CW32" s="275"/>
      <c r="CX32" s="275"/>
      <c r="CY32" s="275"/>
      <c r="CZ32" s="275"/>
      <c r="DA32" s="275"/>
      <c r="DB32" s="275"/>
      <c r="DC32" s="275"/>
      <c r="DD32" s="275"/>
      <c r="DE32" s="275"/>
      <c r="DF32" s="275"/>
      <c r="DG32" s="275"/>
      <c r="DH32" s="275"/>
      <c r="DI32" s="275"/>
      <c r="DJ32" s="275"/>
      <c r="DK32" s="275"/>
      <c r="DL32" s="275"/>
      <c r="DM32" s="275"/>
      <c r="DN32" s="275"/>
      <c r="DO32" s="275"/>
      <c r="DP32" s="275"/>
      <c r="DQ32" s="275"/>
      <c r="DR32" s="275"/>
      <c r="DS32" s="275"/>
      <c r="DT32" s="275"/>
      <c r="DU32" s="275"/>
      <c r="DV32" s="275"/>
      <c r="DW32" s="275"/>
      <c r="DX32" s="275"/>
      <c r="DY32" s="275"/>
      <c r="DZ32" s="275"/>
      <c r="EA32" s="275"/>
      <c r="EB32" s="275"/>
      <c r="EC32" s="275"/>
      <c r="ED32" s="275"/>
      <c r="EE32" s="275"/>
      <c r="EF32" s="275"/>
      <c r="EG32" s="275"/>
      <c r="EH32" s="275"/>
      <c r="EI32" s="275"/>
      <c r="EJ32" s="275"/>
      <c r="EK32" s="275"/>
      <c r="EL32" s="275"/>
      <c r="EM32" s="275"/>
      <c r="EN32" s="275"/>
      <c r="EO32" s="275"/>
      <c r="EP32" s="275"/>
      <c r="EQ32" s="275"/>
      <c r="ER32" s="275"/>
      <c r="ES32" s="275"/>
      <c r="ET32" s="275"/>
      <c r="EU32" s="275"/>
      <c r="EV32" s="275"/>
      <c r="EW32" s="275"/>
      <c r="EX32" s="275"/>
      <c r="EY32" s="275"/>
      <c r="EZ32" s="275"/>
      <c r="FA32" s="275"/>
      <c r="FB32" s="275"/>
      <c r="FC32" s="275"/>
      <c r="FD32" s="275"/>
      <c r="FE32" s="275"/>
      <c r="FF32" s="275"/>
      <c r="FG32" s="275"/>
      <c r="FH32" s="275"/>
      <c r="FI32" s="275"/>
      <c r="FJ32" s="275"/>
      <c r="FK32" s="275"/>
      <c r="FL32" s="275"/>
      <c r="FM32" s="275"/>
      <c r="FN32" s="275"/>
      <c r="FO32" s="275"/>
      <c r="FP32" s="275"/>
      <c r="FQ32" s="275"/>
      <c r="FR32" s="275"/>
      <c r="FS32" s="275"/>
      <c r="FT32" s="275"/>
      <c r="FU32" s="275"/>
      <c r="FV32" s="275"/>
      <c r="FW32" s="275"/>
      <c r="FX32" s="275"/>
      <c r="FY32" s="275"/>
      <c r="FZ32" s="275"/>
      <c r="GA32" s="275"/>
      <c r="GB32" s="275"/>
      <c r="GC32" s="275"/>
      <c r="GD32" s="275"/>
      <c r="GE32" s="275"/>
      <c r="GF32" s="275"/>
      <c r="GG32" s="275"/>
      <c r="GH32" s="275"/>
      <c r="GI32" s="275"/>
      <c r="GJ32" s="275"/>
      <c r="GK32" s="275"/>
      <c r="GL32" s="275"/>
      <c r="GM32" s="275"/>
      <c r="GN32" s="275"/>
      <c r="GO32" s="275"/>
      <c r="GP32" s="275"/>
      <c r="GQ32" s="275"/>
      <c r="GR32" s="275"/>
      <c r="GS32" s="275"/>
      <c r="GT32" s="275"/>
      <c r="GU32" s="275"/>
      <c r="GV32" s="275"/>
      <c r="GW32" s="275"/>
      <c r="GX32" s="275"/>
      <c r="GY32" s="275"/>
      <c r="GZ32" s="275"/>
      <c r="HA32" s="275"/>
      <c r="HB32" s="275"/>
      <c r="HC32" s="275"/>
      <c r="HD32" s="275"/>
      <c r="HE32" s="275"/>
      <c r="HF32" s="275"/>
      <c r="HG32" s="275"/>
      <c r="HH32" s="275"/>
      <c r="HI32" s="275"/>
      <c r="HJ32" s="275"/>
      <c r="HK32" s="275"/>
      <c r="HL32" s="275"/>
      <c r="HM32" s="275"/>
      <c r="HN32" s="275"/>
      <c r="HO32" s="275"/>
      <c r="HP32" s="275"/>
      <c r="HQ32" s="275"/>
      <c r="HR32" s="275"/>
      <c r="HS32" s="275"/>
      <c r="HT32" s="275"/>
      <c r="HU32" s="275"/>
      <c r="HV32" s="275"/>
      <c r="HW32" s="275"/>
      <c r="HX32" s="275"/>
      <c r="HY32" s="275"/>
      <c r="HZ32" s="275"/>
      <c r="IA32" s="275"/>
      <c r="IB32" s="275"/>
      <c r="IC32" s="275"/>
      <c r="ID32" s="275"/>
      <c r="IE32" s="275"/>
      <c r="IF32" s="275"/>
      <c r="IG32" s="275"/>
      <c r="IH32" s="275"/>
      <c r="II32" s="275"/>
      <c r="IJ32" s="275"/>
      <c r="IK32" s="275"/>
      <c r="IL32" s="275"/>
      <c r="IM32" s="275"/>
      <c r="IN32" s="275"/>
      <c r="IO32" s="275"/>
      <c r="IP32" s="275"/>
      <c r="IQ32" s="275"/>
      <c r="IR32" s="275"/>
      <c r="IS32" s="275"/>
      <c r="IT32" s="275"/>
      <c r="IU32" s="275"/>
      <c r="IV32" s="275"/>
    </row>
    <row r="33" spans="1:256" s="277" customFormat="1" ht="18" customHeight="1">
      <c r="A33" s="267"/>
      <c r="B33" s="268" t="s">
        <v>286</v>
      </c>
      <c r="C33" s="269" t="s">
        <v>276</v>
      </c>
      <c r="D33" s="270">
        <v>0</v>
      </c>
      <c r="E33" s="271"/>
      <c r="F33" s="272"/>
      <c r="G33" s="273">
        <v>12.6</v>
      </c>
      <c r="H33" s="274">
        <f>D33*G33</f>
        <v>0</v>
      </c>
      <c r="I33" s="275"/>
      <c r="J33" s="275"/>
      <c r="K33" s="284">
        <f>H33+J32</f>
        <v>0</v>
      </c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Y33" s="275"/>
      <c r="Z33" s="275"/>
      <c r="AA33" s="275"/>
      <c r="AB33" s="275"/>
      <c r="AC33" s="275"/>
      <c r="AD33" s="275"/>
      <c r="AE33" s="275"/>
      <c r="AF33" s="275"/>
      <c r="AG33" s="275"/>
      <c r="AH33" s="275"/>
      <c r="AI33" s="275"/>
      <c r="AJ33" s="275"/>
      <c r="AK33" s="275"/>
      <c r="AL33" s="275"/>
      <c r="AM33" s="275"/>
      <c r="AN33" s="275"/>
      <c r="AO33" s="275"/>
      <c r="AP33" s="275"/>
      <c r="AQ33" s="275"/>
      <c r="AR33" s="275"/>
      <c r="AS33" s="275"/>
      <c r="AT33" s="275"/>
      <c r="AU33" s="275"/>
      <c r="AV33" s="275"/>
      <c r="AW33" s="275"/>
      <c r="AX33" s="275"/>
      <c r="AY33" s="275"/>
      <c r="AZ33" s="275"/>
      <c r="BA33" s="275"/>
      <c r="BB33" s="275"/>
      <c r="BC33" s="275"/>
      <c r="BD33" s="275"/>
      <c r="BE33" s="275"/>
      <c r="BF33" s="275"/>
      <c r="BG33" s="275"/>
      <c r="BH33" s="275"/>
      <c r="BI33" s="275"/>
      <c r="BJ33" s="275"/>
      <c r="BK33" s="275"/>
      <c r="BL33" s="275"/>
      <c r="BM33" s="275"/>
      <c r="BN33" s="275"/>
      <c r="BO33" s="275"/>
      <c r="BP33" s="275"/>
      <c r="BQ33" s="275"/>
      <c r="BR33" s="275"/>
      <c r="BS33" s="275"/>
      <c r="BT33" s="275"/>
      <c r="BU33" s="275"/>
      <c r="BV33" s="275"/>
      <c r="BW33" s="275"/>
      <c r="BX33" s="275"/>
      <c r="BY33" s="275"/>
      <c r="BZ33" s="275"/>
      <c r="CA33" s="275"/>
      <c r="CB33" s="275"/>
      <c r="CC33" s="275"/>
      <c r="CD33" s="275"/>
      <c r="CE33" s="275"/>
      <c r="CF33" s="275"/>
      <c r="CG33" s="275"/>
      <c r="CH33" s="275"/>
      <c r="CI33" s="275"/>
      <c r="CJ33" s="275"/>
      <c r="CK33" s="275"/>
      <c r="CL33" s="275"/>
      <c r="CM33" s="275"/>
      <c r="CN33" s="275"/>
      <c r="CO33" s="275"/>
      <c r="CP33" s="275"/>
      <c r="CQ33" s="275"/>
      <c r="CR33" s="275"/>
      <c r="CS33" s="275"/>
      <c r="CT33" s="275"/>
      <c r="CU33" s="275"/>
      <c r="CV33" s="275"/>
      <c r="CW33" s="275"/>
      <c r="CX33" s="275"/>
      <c r="CY33" s="275"/>
      <c r="CZ33" s="275"/>
      <c r="DA33" s="275"/>
      <c r="DB33" s="275"/>
      <c r="DC33" s="275"/>
      <c r="DD33" s="275"/>
      <c r="DE33" s="275"/>
      <c r="DF33" s="275"/>
      <c r="DG33" s="275"/>
      <c r="DH33" s="275"/>
      <c r="DI33" s="275"/>
      <c r="DJ33" s="275"/>
      <c r="DK33" s="275"/>
      <c r="DL33" s="275"/>
      <c r="DM33" s="275"/>
      <c r="DN33" s="275"/>
      <c r="DO33" s="275"/>
      <c r="DP33" s="275"/>
      <c r="DQ33" s="275"/>
      <c r="DR33" s="275"/>
      <c r="DS33" s="275"/>
      <c r="DT33" s="275"/>
      <c r="DU33" s="275"/>
      <c r="DV33" s="275"/>
      <c r="DW33" s="275"/>
      <c r="DX33" s="275"/>
      <c r="DY33" s="275"/>
      <c r="DZ33" s="275"/>
      <c r="EA33" s="275"/>
      <c r="EB33" s="275"/>
      <c r="EC33" s="275"/>
      <c r="ED33" s="275"/>
      <c r="EE33" s="275"/>
      <c r="EF33" s="275"/>
      <c r="EG33" s="275"/>
      <c r="EH33" s="275"/>
      <c r="EI33" s="275"/>
      <c r="EJ33" s="275"/>
      <c r="EK33" s="275"/>
      <c r="EL33" s="275"/>
      <c r="EM33" s="275"/>
      <c r="EN33" s="275"/>
      <c r="EO33" s="275"/>
      <c r="EP33" s="275"/>
      <c r="EQ33" s="275"/>
      <c r="ER33" s="275"/>
      <c r="ES33" s="275"/>
      <c r="ET33" s="275"/>
      <c r="EU33" s="275"/>
      <c r="EV33" s="275"/>
      <c r="EW33" s="275"/>
      <c r="EX33" s="275"/>
      <c r="EY33" s="275"/>
      <c r="EZ33" s="275"/>
      <c r="FA33" s="275"/>
      <c r="FB33" s="275"/>
      <c r="FC33" s="275"/>
      <c r="FD33" s="275"/>
      <c r="FE33" s="275"/>
      <c r="FF33" s="275"/>
      <c r="FG33" s="275"/>
      <c r="FH33" s="275"/>
      <c r="FI33" s="275"/>
      <c r="FJ33" s="275"/>
      <c r="FK33" s="275"/>
      <c r="FL33" s="275"/>
      <c r="FM33" s="275"/>
      <c r="FN33" s="275"/>
      <c r="FO33" s="275"/>
      <c r="FP33" s="275"/>
      <c r="FQ33" s="275"/>
      <c r="FR33" s="275"/>
      <c r="FS33" s="275"/>
      <c r="FT33" s="275"/>
      <c r="FU33" s="275"/>
      <c r="FV33" s="275"/>
      <c r="FW33" s="275"/>
      <c r="FX33" s="275"/>
      <c r="FY33" s="275"/>
      <c r="FZ33" s="275"/>
      <c r="GA33" s="275"/>
      <c r="GB33" s="275"/>
      <c r="GC33" s="275"/>
      <c r="GD33" s="275"/>
      <c r="GE33" s="275"/>
      <c r="GF33" s="275"/>
      <c r="GG33" s="275"/>
      <c r="GH33" s="275"/>
      <c r="GI33" s="275"/>
      <c r="GJ33" s="275"/>
      <c r="GK33" s="275"/>
      <c r="GL33" s="275"/>
      <c r="GM33" s="275"/>
      <c r="GN33" s="275"/>
      <c r="GO33" s="275"/>
      <c r="GP33" s="275"/>
      <c r="GQ33" s="275"/>
      <c r="GR33" s="275"/>
      <c r="GS33" s="275"/>
      <c r="GT33" s="275"/>
      <c r="GU33" s="275"/>
      <c r="GV33" s="275"/>
      <c r="GW33" s="275"/>
      <c r="GX33" s="275"/>
      <c r="GY33" s="275"/>
      <c r="GZ33" s="275"/>
      <c r="HA33" s="275"/>
      <c r="HB33" s="275"/>
      <c r="HC33" s="275"/>
      <c r="HD33" s="275"/>
      <c r="HE33" s="275"/>
      <c r="HF33" s="275"/>
      <c r="HG33" s="275"/>
      <c r="HH33" s="275"/>
      <c r="HI33" s="275"/>
      <c r="HJ33" s="275"/>
      <c r="HK33" s="275"/>
      <c r="HL33" s="275"/>
      <c r="HM33" s="275"/>
      <c r="HN33" s="275"/>
      <c r="HO33" s="275"/>
      <c r="HP33" s="275"/>
      <c r="HQ33" s="275"/>
      <c r="HR33" s="275"/>
      <c r="HS33" s="275"/>
      <c r="HT33" s="275"/>
      <c r="HU33" s="275"/>
      <c r="HV33" s="275"/>
      <c r="HW33" s="275"/>
      <c r="HX33" s="275"/>
      <c r="HY33" s="275"/>
      <c r="HZ33" s="275"/>
      <c r="IA33" s="275"/>
      <c r="IB33" s="275"/>
      <c r="IC33" s="275"/>
      <c r="ID33" s="275"/>
      <c r="IE33" s="275"/>
      <c r="IF33" s="275"/>
      <c r="IG33" s="275"/>
      <c r="IH33" s="275"/>
      <c r="II33" s="275"/>
      <c r="IJ33" s="275"/>
      <c r="IK33" s="275"/>
      <c r="IL33" s="275"/>
      <c r="IM33" s="275"/>
      <c r="IN33" s="275"/>
      <c r="IO33" s="275"/>
      <c r="IP33" s="275"/>
      <c r="IQ33" s="275"/>
      <c r="IR33" s="275"/>
      <c r="IS33" s="275"/>
      <c r="IT33" s="275"/>
      <c r="IU33" s="275"/>
      <c r="IV33" s="275"/>
    </row>
    <row r="34" spans="1:256" ht="18" customHeight="1" thickBot="1">
      <c r="A34" s="229"/>
      <c r="B34" s="232"/>
      <c r="C34" s="230"/>
      <c r="D34" s="235"/>
      <c r="E34" s="191"/>
      <c r="F34" s="192"/>
      <c r="G34" s="236"/>
      <c r="H34" s="190">
        <f t="shared" si="2"/>
        <v>0</v>
      </c>
    </row>
    <row r="35" spans="1:256" ht="16.5" thickBot="1">
      <c r="A35" s="50"/>
      <c r="B35" s="47"/>
      <c r="C35" s="48"/>
      <c r="D35" s="49"/>
      <c r="E35" s="217"/>
      <c r="F35" s="192"/>
      <c r="G35" s="35" t="s">
        <v>208</v>
      </c>
      <c r="I35" s="243" t="s">
        <v>207</v>
      </c>
      <c r="J35" s="237" t="s">
        <v>174</v>
      </c>
      <c r="K35" s="253" t="s">
        <v>246</v>
      </c>
    </row>
    <row r="36" spans="1:256" ht="16.5" thickBot="1">
      <c r="A36" s="193"/>
      <c r="B36" s="197" t="s">
        <v>107</v>
      </c>
      <c r="C36" s="198"/>
      <c r="D36" s="199"/>
      <c r="E36" s="200">
        <f>SUM(E12:E34)</f>
        <v>7829.8344827586207</v>
      </c>
      <c r="F36" s="200">
        <f>SUM(F12:F34)</f>
        <v>52797.459310344842</v>
      </c>
      <c r="G36" s="35" t="s">
        <v>262</v>
      </c>
      <c r="I36" s="244">
        <f>F36/120</f>
        <v>439.97882758620705</v>
      </c>
      <c r="J36" s="237">
        <f>J6*K6</f>
        <v>5.2080000000000002</v>
      </c>
      <c r="K36" s="246">
        <f>I36/J36</f>
        <v>84.481341702420707</v>
      </c>
    </row>
    <row r="37" spans="1:256" ht="15.75">
      <c r="A37" s="194"/>
      <c r="B37" s="91"/>
      <c r="C37" s="91"/>
      <c r="D37" s="199"/>
      <c r="E37" s="124"/>
      <c r="F37" s="124"/>
    </row>
    <row r="38" spans="1:256">
      <c r="A38" s="193"/>
      <c r="B38" s="201" t="s">
        <v>265</v>
      </c>
      <c r="C38" s="202" t="s">
        <v>231</v>
      </c>
      <c r="D38" s="252">
        <v>0.1</v>
      </c>
      <c r="E38" s="203"/>
      <c r="F38" s="203">
        <f>F36*0.1</f>
        <v>5279.7459310344848</v>
      </c>
      <c r="K38" s="35" t="s">
        <v>280</v>
      </c>
    </row>
    <row r="39" spans="1:256">
      <c r="A39" s="193"/>
      <c r="B39" s="201" t="s">
        <v>111</v>
      </c>
      <c r="C39" s="202" t="s">
        <v>109</v>
      </c>
      <c r="D39" s="183"/>
      <c r="E39" s="204">
        <f>D39</f>
        <v>0</v>
      </c>
      <c r="F39" s="192">
        <f>D3*E39</f>
        <v>0</v>
      </c>
      <c r="K39" s="218">
        <v>1.1499999999999999</v>
      </c>
      <c r="L39" s="35">
        <v>4166.67</v>
      </c>
      <c r="M39" s="266">
        <f>K39*L39</f>
        <v>4791.6704999999993</v>
      </c>
    </row>
    <row r="40" spans="1:256" ht="15.75" customHeight="1">
      <c r="A40" s="193"/>
      <c r="B40" s="201" t="s">
        <v>108</v>
      </c>
      <c r="C40" s="202" t="s">
        <v>114</v>
      </c>
      <c r="D40" s="183">
        <v>4.2899999999999999E-5</v>
      </c>
      <c r="E40" s="185">
        <v>3881.3</v>
      </c>
      <c r="F40" s="183">
        <f>D40*E40</f>
        <v>0.16650777</v>
      </c>
      <c r="K40" s="35">
        <v>0</v>
      </c>
    </row>
    <row r="41" spans="1:256">
      <c r="A41" s="193"/>
      <c r="B41" s="201" t="s">
        <v>31</v>
      </c>
      <c r="C41" s="202">
        <v>50</v>
      </c>
      <c r="D41" s="183">
        <v>0</v>
      </c>
      <c r="E41" s="185">
        <v>10.85</v>
      </c>
      <c r="F41" s="183">
        <f>D5*E41</f>
        <v>0</v>
      </c>
      <c r="I41" s="35" t="s">
        <v>260</v>
      </c>
    </row>
    <row r="42" spans="1:256">
      <c r="A42" s="193"/>
      <c r="B42" s="201" t="s">
        <v>258</v>
      </c>
      <c r="C42" s="201" t="s">
        <v>231</v>
      </c>
      <c r="D42" s="252">
        <f>T29</f>
        <v>7.659449957261906E-2</v>
      </c>
      <c r="E42" s="344">
        <f>T26</f>
        <v>8.731050156943887E-2</v>
      </c>
      <c r="F42" s="254">
        <f>I42-F36</f>
        <v>4609.2181977931032</v>
      </c>
      <c r="I42" s="35">
        <f>F36*1.0873</f>
        <v>57406.677508137946</v>
      </c>
    </row>
    <row r="43" spans="1:256" ht="15.75">
      <c r="A43" s="194"/>
      <c r="B43" s="201" t="s">
        <v>257</v>
      </c>
      <c r="C43" s="201" t="s">
        <v>231</v>
      </c>
      <c r="D43" s="252">
        <f>T30</f>
        <v>1.0716001996819813E-2</v>
      </c>
      <c r="E43" s="345"/>
      <c r="F43" s="255"/>
      <c r="H43" s="51"/>
    </row>
    <row r="44" spans="1:256" ht="15.75">
      <c r="A44" s="193"/>
      <c r="B44" s="197" t="s">
        <v>259</v>
      </c>
      <c r="C44" s="198"/>
      <c r="D44" s="191"/>
      <c r="E44" s="200">
        <f>SUM(E39:E41)</f>
        <v>3892.15</v>
      </c>
      <c r="F44" s="200">
        <f>SUM(F38:F43)</f>
        <v>9889.130636597587</v>
      </c>
    </row>
    <row r="45" spans="1:256">
      <c r="A45" s="195"/>
      <c r="B45" s="10"/>
      <c r="C45" s="10"/>
      <c r="D45" s="191">
        <f>IF(C41&gt;0, ((C45/120)+'Consumo Material'!J32)*103%, (C45/120)+'Consumo Material'!J32)</f>
        <v>0</v>
      </c>
      <c r="E45" s="283">
        <f>D45*0.1</f>
        <v>0</v>
      </c>
      <c r="F45" s="280">
        <f>SUM(D45:E45)</f>
        <v>0</v>
      </c>
    </row>
    <row r="46" spans="1:256" ht="15.75">
      <c r="A46" s="195"/>
      <c r="B46" s="91"/>
      <c r="C46" s="10"/>
      <c r="D46" s="191"/>
      <c r="E46" s="10"/>
      <c r="F46" s="10"/>
    </row>
    <row r="47" spans="1:256" ht="15.75" thickBot="1">
      <c r="A47" s="195"/>
      <c r="B47" s="10"/>
      <c r="C47" s="10"/>
      <c r="D47" s="191"/>
      <c r="E47" s="10"/>
      <c r="F47" s="10"/>
    </row>
    <row r="48" spans="1:256" ht="15.75" thickBot="1">
      <c r="A48" s="195"/>
      <c r="B48" s="10"/>
      <c r="C48" s="10"/>
      <c r="D48" s="191"/>
      <c r="E48" s="10"/>
      <c r="F48" s="10"/>
      <c r="I48" s="243" t="s">
        <v>207</v>
      </c>
      <c r="J48" s="237" t="s">
        <v>174</v>
      </c>
      <c r="K48" s="253" t="s">
        <v>246</v>
      </c>
    </row>
    <row r="49" spans="1:11" ht="16.5" thickBot="1">
      <c r="A49" s="196"/>
      <c r="B49" s="205" t="s">
        <v>38</v>
      </c>
      <c r="C49" s="206"/>
      <c r="D49" s="207"/>
      <c r="E49" s="200">
        <f>E36+E44</f>
        <v>11721.98448275862</v>
      </c>
      <c r="F49" s="200">
        <f>F36+F44</f>
        <v>62686.589946942433</v>
      </c>
      <c r="I49" s="244">
        <f>F49/120</f>
        <v>522.38824955785356</v>
      </c>
      <c r="J49" s="237">
        <f>J6*K6</f>
        <v>5.2080000000000002</v>
      </c>
      <c r="K49" s="246">
        <f>I49/J49</f>
        <v>100.30496343276758</v>
      </c>
    </row>
    <row r="50" spans="1:11" ht="15.75" customHeight="1">
      <c r="A50" s="52" t="s">
        <v>150</v>
      </c>
      <c r="B50" s="302"/>
      <c r="C50" s="208" t="s">
        <v>151</v>
      </c>
      <c r="D50" s="197"/>
      <c r="E50" s="209" t="s">
        <v>152</v>
      </c>
      <c r="F50" s="209" t="s">
        <v>104</v>
      </c>
    </row>
    <row r="51" spans="1:11">
      <c r="A51" s="53" t="s">
        <v>153</v>
      </c>
      <c r="B51" s="303"/>
      <c r="C51" s="210" t="s">
        <v>190</v>
      </c>
      <c r="D51" s="210"/>
      <c r="E51" s="202"/>
      <c r="F51" s="211"/>
    </row>
    <row r="52" spans="1:11" ht="15" customHeight="1">
      <c r="A52" s="215" t="s">
        <v>154</v>
      </c>
      <c r="B52" s="303"/>
      <c r="C52" s="208" t="s">
        <v>151</v>
      </c>
      <c r="D52" s="197"/>
      <c r="E52" s="209" t="s">
        <v>152</v>
      </c>
      <c r="F52" s="209" t="s">
        <v>104</v>
      </c>
    </row>
    <row r="53" spans="1:11">
      <c r="A53" s="216" t="s">
        <v>153</v>
      </c>
      <c r="B53" s="303"/>
      <c r="C53" s="212" t="s">
        <v>191</v>
      </c>
      <c r="D53" s="212"/>
      <c r="E53" s="213"/>
      <c r="F53" s="214"/>
    </row>
  </sheetData>
  <mergeCells count="20">
    <mergeCell ref="L24:N24"/>
    <mergeCell ref="L26:N26"/>
    <mergeCell ref="Q25:R25"/>
    <mergeCell ref="Q26:S26"/>
    <mergeCell ref="Q24:R24"/>
    <mergeCell ref="B50:B51"/>
    <mergeCell ref="B52:B53"/>
    <mergeCell ref="B8:B10"/>
    <mergeCell ref="E1:F3"/>
    <mergeCell ref="C8:C10"/>
    <mergeCell ref="A7:F7"/>
    <mergeCell ref="A4:F4"/>
    <mergeCell ref="D8:F8"/>
    <mergeCell ref="D9:E9"/>
    <mergeCell ref="A8:A10"/>
    <mergeCell ref="D5:F6"/>
    <mergeCell ref="A1:C1"/>
    <mergeCell ref="A2:D3"/>
    <mergeCell ref="A5:C6"/>
    <mergeCell ref="E42:E43"/>
  </mergeCells>
  <pageMargins left="0.70866141732283472" right="0.70866141732283472" top="0.74803149606299213" bottom="0.74803149606299213" header="0.31496062992125984" footer="0.31496062992125984"/>
  <pageSetup paperSize="9" scale="6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43"/>
  <sheetViews>
    <sheetView topLeftCell="A10" workbookViewId="0">
      <selection activeCell="B49" sqref="B49"/>
    </sheetView>
  </sheetViews>
  <sheetFormatPr baseColWidth="10" defaultColWidth="9" defaultRowHeight="15"/>
  <cols>
    <col min="1" max="1" width="48.7109375" style="54" customWidth="1"/>
    <col min="2" max="2" width="5.28515625" style="54" customWidth="1"/>
    <col min="3" max="3" width="14.42578125" style="54" customWidth="1"/>
    <col min="4" max="4" width="16.7109375" style="54" customWidth="1"/>
    <col min="5" max="5" width="20.42578125" style="54" customWidth="1"/>
    <col min="6" max="256" width="11.42578125" style="54" customWidth="1"/>
  </cols>
  <sheetData>
    <row r="1" spans="1:11">
      <c r="A1" s="367" t="s">
        <v>76</v>
      </c>
      <c r="B1" s="368"/>
      <c r="C1" s="368"/>
      <c r="D1" s="368"/>
      <c r="E1" s="369"/>
    </row>
    <row r="2" spans="1:11">
      <c r="A2" s="370"/>
      <c r="B2" s="371"/>
      <c r="C2" s="371"/>
      <c r="D2" s="371"/>
      <c r="E2" s="372"/>
    </row>
    <row r="3" spans="1:11">
      <c r="A3" s="55"/>
      <c r="B3" s="56"/>
      <c r="C3" s="56"/>
      <c r="D3" s="56"/>
      <c r="E3" s="57"/>
    </row>
    <row r="4" spans="1:11">
      <c r="A4" s="58" t="s">
        <v>155</v>
      </c>
      <c r="B4" s="59"/>
      <c r="C4" s="373" t="s">
        <v>126</v>
      </c>
      <c r="D4" s="374"/>
      <c r="E4" s="357"/>
    </row>
    <row r="5" spans="1:11">
      <c r="A5" s="60"/>
      <c r="B5" s="61"/>
      <c r="C5" s="375"/>
      <c r="D5" s="376"/>
      <c r="E5" s="347"/>
      <c r="J5" s="54">
        <v>900</v>
      </c>
      <c r="K5" s="54">
        <v>2100</v>
      </c>
    </row>
    <row r="6" spans="1:11">
      <c r="A6" s="62" t="s">
        <v>77</v>
      </c>
      <c r="B6" s="63"/>
      <c r="C6" s="377"/>
      <c r="D6" s="378"/>
      <c r="E6" s="379"/>
    </row>
    <row r="7" spans="1:11">
      <c r="A7" s="64" t="s">
        <v>113</v>
      </c>
      <c r="B7" s="65"/>
      <c r="C7" s="380" t="s">
        <v>78</v>
      </c>
      <c r="D7" s="363"/>
      <c r="E7" s="364"/>
    </row>
    <row r="8" spans="1:11">
      <c r="A8" s="362" t="s">
        <v>127</v>
      </c>
      <c r="B8" s="381"/>
      <c r="C8" s="380" t="s">
        <v>128</v>
      </c>
      <c r="D8" s="363"/>
      <c r="E8" s="364"/>
    </row>
    <row r="9" spans="1:11" ht="15" customHeight="1">
      <c r="A9" s="362"/>
      <c r="B9" s="363"/>
      <c r="C9" s="363"/>
      <c r="D9" s="363"/>
      <c r="E9" s="364"/>
    </row>
    <row r="10" spans="1:11">
      <c r="A10" s="60"/>
      <c r="B10" s="61"/>
      <c r="C10" s="365" t="s">
        <v>35</v>
      </c>
      <c r="D10" s="365"/>
      <c r="E10" s="366"/>
    </row>
    <row r="11" spans="1:11">
      <c r="A11" s="66" t="s">
        <v>79</v>
      </c>
      <c r="B11" s="67" t="s">
        <v>34</v>
      </c>
      <c r="C11" s="68" t="s">
        <v>36</v>
      </c>
      <c r="D11" s="68" t="s">
        <v>37</v>
      </c>
      <c r="E11" s="69" t="s">
        <v>38</v>
      </c>
    </row>
    <row r="12" spans="1:11">
      <c r="A12" s="70"/>
      <c r="B12" s="71"/>
      <c r="C12" s="72"/>
      <c r="D12" s="73"/>
      <c r="E12" s="74"/>
    </row>
    <row r="13" spans="1:11" s="75" customFormat="1" ht="15.75">
      <c r="A13" s="76" t="s">
        <v>80</v>
      </c>
      <c r="B13" s="71" t="s">
        <v>39</v>
      </c>
      <c r="C13" s="77">
        <f>'Desglose Salario'!J29</f>
        <v>1382.8125000000005</v>
      </c>
      <c r="D13" s="78"/>
      <c r="E13" s="79">
        <f>C13</f>
        <v>1382.8125000000005</v>
      </c>
    </row>
    <row r="14" spans="1:11" ht="15.75">
      <c r="A14" s="76" t="s">
        <v>81</v>
      </c>
      <c r="B14" s="71" t="s">
        <v>41</v>
      </c>
      <c r="C14" s="80">
        <v>0</v>
      </c>
      <c r="D14" s="81"/>
      <c r="E14" s="79">
        <f>C14</f>
        <v>0</v>
      </c>
    </row>
    <row r="15" spans="1:11" ht="15.75">
      <c r="A15" s="76"/>
      <c r="B15" s="71"/>
      <c r="C15" s="80"/>
      <c r="D15" s="81"/>
      <c r="E15" s="79"/>
    </row>
    <row r="16" spans="1:11" ht="15.75">
      <c r="A16" s="76"/>
      <c r="B16" s="71" t="s">
        <v>284</v>
      </c>
      <c r="C16" s="80"/>
      <c r="D16" s="81">
        <v>5.8</v>
      </c>
      <c r="E16" s="79"/>
      <c r="G16" s="54">
        <v>32.74</v>
      </c>
    </row>
    <row r="17" spans="1:10" ht="15.75">
      <c r="A17" s="76"/>
      <c r="B17" s="71"/>
      <c r="C17" s="80"/>
      <c r="D17" s="81"/>
      <c r="E17" s="79"/>
    </row>
    <row r="18" spans="1:10" ht="15.75">
      <c r="A18" s="76"/>
      <c r="B18" s="71"/>
      <c r="C18" s="80"/>
      <c r="D18" s="81">
        <v>4</v>
      </c>
      <c r="E18" s="79"/>
    </row>
    <row r="19" spans="1:10" ht="15.75">
      <c r="A19" s="76"/>
      <c r="B19" s="71"/>
      <c r="C19" s="80"/>
      <c r="D19" s="81">
        <v>16</v>
      </c>
      <c r="E19" s="79"/>
    </row>
    <row r="20" spans="1:10" ht="15.75">
      <c r="A20" s="76"/>
      <c r="B20" s="71"/>
      <c r="C20" s="80"/>
      <c r="D20" s="81"/>
      <c r="E20" s="79"/>
    </row>
    <row r="21" spans="1:10" ht="15.75">
      <c r="A21" s="76"/>
      <c r="B21" s="71"/>
      <c r="C21" s="80"/>
      <c r="D21" s="81">
        <v>5.5</v>
      </c>
      <c r="E21" s="79"/>
    </row>
    <row r="22" spans="1:10" ht="15.75">
      <c r="A22" s="76"/>
      <c r="B22" s="71"/>
      <c r="C22" s="80"/>
      <c r="D22" s="81">
        <v>16.3</v>
      </c>
      <c r="E22" s="79"/>
    </row>
    <row r="23" spans="1:10" ht="15.75">
      <c r="A23" s="76"/>
      <c r="B23" s="71"/>
      <c r="C23" s="80"/>
      <c r="D23" s="81">
        <v>10.8</v>
      </c>
      <c r="E23" s="79"/>
    </row>
    <row r="24" spans="1:10" ht="15.75">
      <c r="A24" s="76"/>
      <c r="B24" s="71"/>
      <c r="C24" s="80"/>
      <c r="D24" s="81"/>
      <c r="E24" s="79"/>
    </row>
    <row r="25" spans="1:10" ht="15.75">
      <c r="A25" s="76"/>
      <c r="B25" s="71"/>
      <c r="C25" s="80"/>
      <c r="D25" s="81"/>
      <c r="E25" s="79"/>
    </row>
    <row r="26" spans="1:10" ht="15.75">
      <c r="A26" s="76"/>
      <c r="B26" s="71"/>
      <c r="C26" s="80"/>
      <c r="D26" s="81">
        <v>12</v>
      </c>
      <c r="E26" s="79"/>
    </row>
    <row r="27" spans="1:10" ht="15.75">
      <c r="A27" s="76"/>
      <c r="B27" s="71"/>
      <c r="C27" s="80"/>
      <c r="D27" s="81"/>
      <c r="E27" s="79"/>
      <c r="G27" s="54">
        <v>16.73</v>
      </c>
    </row>
    <row r="28" spans="1:10" ht="15.75">
      <c r="A28" s="76"/>
      <c r="B28" s="71"/>
      <c r="C28" s="80"/>
      <c r="D28" s="81"/>
      <c r="E28" s="79"/>
    </row>
    <row r="29" spans="1:10" ht="15.75">
      <c r="A29" s="76"/>
      <c r="B29" s="71"/>
      <c r="C29" s="80"/>
      <c r="D29" s="81"/>
      <c r="E29" s="79"/>
    </row>
    <row r="30" spans="1:10" ht="15.75">
      <c r="A30" s="76"/>
      <c r="B30" s="71"/>
      <c r="C30" s="80"/>
      <c r="D30" s="81">
        <f>(0.72*1.3)*1.1</f>
        <v>1.0296000000000001</v>
      </c>
      <c r="E30" s="79"/>
      <c r="G30" s="54">
        <v>9.65</v>
      </c>
      <c r="J30" s="54">
        <v>440</v>
      </c>
    </row>
    <row r="31" spans="1:10" ht="15.75">
      <c r="A31" s="76"/>
      <c r="B31" s="71" t="s">
        <v>285</v>
      </c>
      <c r="C31" s="80"/>
      <c r="D31" s="81">
        <f>(0.72*0.61)</f>
        <v>0.43919999999999998</v>
      </c>
      <c r="E31" s="79"/>
    </row>
    <row r="32" spans="1:10" ht="15.75">
      <c r="A32" s="76"/>
      <c r="B32" s="71"/>
      <c r="C32" s="80"/>
      <c r="D32" s="81"/>
      <c r="E32" s="79"/>
    </row>
    <row r="33" spans="1:6">
      <c r="A33" s="82"/>
      <c r="B33" s="71"/>
      <c r="C33" s="73"/>
      <c r="D33" s="73"/>
      <c r="E33" s="74"/>
    </row>
    <row r="34" spans="1:6" s="75" customFormat="1" ht="15.75">
      <c r="A34" s="83" t="s">
        <v>38</v>
      </c>
      <c r="B34" s="84" t="s">
        <v>43</v>
      </c>
      <c r="C34" s="77">
        <f>SUM(C13:C14)</f>
        <v>1382.8125000000005</v>
      </c>
      <c r="D34" s="78"/>
      <c r="E34" s="79">
        <f>SUM(E13:E14)</f>
        <v>1382.8125000000005</v>
      </c>
    </row>
    <row r="35" spans="1:6" s="75" customFormat="1" ht="15.75">
      <c r="A35" s="85"/>
      <c r="B35" s="86"/>
      <c r="C35" s="87"/>
      <c r="D35" s="87"/>
      <c r="E35" s="88"/>
    </row>
    <row r="36" spans="1:6">
      <c r="A36" s="356" t="s">
        <v>115</v>
      </c>
      <c r="B36" s="357"/>
      <c r="C36" s="358" t="s">
        <v>21</v>
      </c>
      <c r="D36" s="360" t="s">
        <v>135</v>
      </c>
      <c r="E36" s="358" t="s">
        <v>117</v>
      </c>
    </row>
    <row r="37" spans="1:6">
      <c r="A37" s="348"/>
      <c r="B37" s="349"/>
      <c r="C37" s="359"/>
      <c r="D37" s="361"/>
      <c r="E37" s="359"/>
    </row>
    <row r="38" spans="1:6">
      <c r="A38" s="346" t="s">
        <v>116</v>
      </c>
      <c r="B38" s="347"/>
      <c r="C38" s="350" t="s">
        <v>21</v>
      </c>
      <c r="D38" s="352" t="s">
        <v>133</v>
      </c>
      <c r="E38" s="354" t="s">
        <v>118</v>
      </c>
    </row>
    <row r="39" spans="1:6">
      <c r="A39" s="348"/>
      <c r="B39" s="349"/>
      <c r="C39" s="351"/>
      <c r="D39" s="353"/>
      <c r="E39" s="355"/>
    </row>
    <row r="43" spans="1:6">
      <c r="D43" s="54">
        <f>IF(C39&gt;0, ((C43/120)+'Consumo Material'!J32)*103%, (C43/120)+'Consumo Material'!J32)</f>
        <v>0</v>
      </c>
      <c r="E43" s="282">
        <f>D43*0.1</f>
        <v>0</v>
      </c>
      <c r="F43" s="279">
        <f>SUM(D43:E43)</f>
        <v>0</v>
      </c>
    </row>
  </sheetData>
  <mergeCells count="15">
    <mergeCell ref="A9:E9"/>
    <mergeCell ref="C10:E10"/>
    <mergeCell ref="A1:E2"/>
    <mergeCell ref="C4:E6"/>
    <mergeCell ref="C7:E7"/>
    <mergeCell ref="A8:B8"/>
    <mergeCell ref="C8:E8"/>
    <mergeCell ref="A38:B39"/>
    <mergeCell ref="C38:C39"/>
    <mergeCell ref="D38:D39"/>
    <mergeCell ref="E38:E39"/>
    <mergeCell ref="A36:B37"/>
    <mergeCell ref="C36:C37"/>
    <mergeCell ref="D36:D37"/>
    <mergeCell ref="E36:E37"/>
  </mergeCells>
  <pageMargins left="0.7" right="0.7" top="0.75" bottom="0.75" header="0.3" footer="0.3"/>
  <pageSetup paperSize="9" scale="8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46"/>
  <sheetViews>
    <sheetView topLeftCell="A4" zoomScale="73" workbookViewId="0">
      <selection activeCell="G31" sqref="G31"/>
    </sheetView>
  </sheetViews>
  <sheetFormatPr baseColWidth="10" defaultColWidth="9" defaultRowHeight="15"/>
  <cols>
    <col min="1" max="1" width="67.5703125" style="54" customWidth="1"/>
    <col min="2" max="2" width="6.5703125" style="54" customWidth="1"/>
    <col min="3" max="3" width="30.42578125" style="89" customWidth="1"/>
    <col min="4" max="4" width="11.42578125" style="54" customWidth="1"/>
    <col min="5" max="5" width="16.28515625" style="54" customWidth="1"/>
    <col min="6" max="245" width="11.42578125" style="54" customWidth="1"/>
    <col min="246" max="246" width="41.7109375" style="54" customWidth="1"/>
    <col min="247" max="247" width="5.28515625" style="54" customWidth="1"/>
    <col min="248" max="248" width="10.85546875" style="54" customWidth="1"/>
    <col min="249" max="249" width="11.28515625" style="54" customWidth="1"/>
    <col min="250" max="250" width="11.5703125" style="54" customWidth="1"/>
    <col min="251" max="251" width="14" style="54" customWidth="1"/>
    <col min="252" max="252" width="17.42578125" style="54" customWidth="1"/>
    <col min="253" max="253" width="15.85546875" style="54" customWidth="1"/>
    <col min="254" max="256" width="11.42578125" style="54" customWidth="1"/>
  </cols>
  <sheetData>
    <row r="1" spans="1:5" s="90" customFormat="1" ht="15.75" customHeight="1">
      <c r="A1" s="382" t="s">
        <v>32</v>
      </c>
      <c r="B1" s="382"/>
      <c r="C1" s="382"/>
    </row>
    <row r="2" spans="1:5" ht="29.25" customHeight="1">
      <c r="A2" s="382"/>
      <c r="B2" s="382"/>
      <c r="C2" s="382"/>
    </row>
    <row r="3" spans="1:5" ht="15.75">
      <c r="A3" s="91" t="s">
        <v>143</v>
      </c>
      <c r="B3" s="91"/>
      <c r="C3" s="92"/>
    </row>
    <row r="4" spans="1:5" ht="15.75">
      <c r="A4" s="91" t="s">
        <v>137</v>
      </c>
      <c r="B4" s="91"/>
      <c r="C4" s="92"/>
    </row>
    <row r="5" spans="1:5" ht="15.75">
      <c r="A5" s="93"/>
      <c r="B5" s="91"/>
      <c r="C5" s="94"/>
    </row>
    <row r="6" spans="1:5" ht="15.75">
      <c r="A6" s="383" t="s">
        <v>33</v>
      </c>
      <c r="B6" s="383" t="s">
        <v>34</v>
      </c>
      <c r="C6" s="95" t="s">
        <v>35</v>
      </c>
    </row>
    <row r="7" spans="1:5" ht="15.75">
      <c r="A7" s="383"/>
      <c r="B7" s="383"/>
      <c r="C7" s="95" t="s">
        <v>36</v>
      </c>
      <c r="D7" s="54">
        <v>76203.839999999997</v>
      </c>
    </row>
    <row r="8" spans="1:5" ht="15.75">
      <c r="A8" s="96" t="s">
        <v>146</v>
      </c>
      <c r="B8" s="97" t="s">
        <v>39</v>
      </c>
      <c r="C8" s="98">
        <f>C9+C10+C11+C12+C13+C14+C15+C16</f>
        <v>843.51562500000023</v>
      </c>
      <c r="D8" s="99">
        <v>0.1736</v>
      </c>
    </row>
    <row r="9" spans="1:5" s="100" customFormat="1" ht="15.75">
      <c r="A9" s="101" t="s">
        <v>40</v>
      </c>
      <c r="B9" s="18" t="s">
        <v>41</v>
      </c>
      <c r="C9" s="102">
        <f>$C$37*0.19</f>
        <v>262.73437500000011</v>
      </c>
      <c r="D9" s="100">
        <v>3.4200000000000001E-2</v>
      </c>
      <c r="E9" s="103">
        <f>C9/C37</f>
        <v>0.19000000000000003</v>
      </c>
    </row>
    <row r="10" spans="1:5" s="100" customFormat="1" ht="15.75">
      <c r="A10" s="101" t="s">
        <v>42</v>
      </c>
      <c r="B10" s="18" t="s">
        <v>43</v>
      </c>
      <c r="C10" s="102">
        <f>$C$37*0.07</f>
        <v>96.796875000000043</v>
      </c>
      <c r="D10" s="100">
        <v>4.5999999999999999E-3</v>
      </c>
      <c r="E10" s="103">
        <f>C10/C37</f>
        <v>7.0000000000000007E-2</v>
      </c>
    </row>
    <row r="11" spans="1:5" s="100" customFormat="1" ht="15.75">
      <c r="A11" s="101" t="s">
        <v>30</v>
      </c>
      <c r="B11" s="18" t="s">
        <v>44</v>
      </c>
      <c r="C11" s="102">
        <f>$C$37*0.13</f>
        <v>179.76562500000006</v>
      </c>
      <c r="D11" s="100">
        <v>1.4800000000000001E-2</v>
      </c>
      <c r="E11" s="103">
        <f>C11/C37</f>
        <v>0.13</v>
      </c>
    </row>
    <row r="12" spans="1:5" s="100" customFormat="1" ht="15.75">
      <c r="A12" s="101" t="s">
        <v>3</v>
      </c>
      <c r="B12" s="18" t="s">
        <v>45</v>
      </c>
      <c r="C12" s="102">
        <f>$C$37*0.05</f>
        <v>69.140625000000028</v>
      </c>
      <c r="D12" s="100">
        <v>9.11E-2</v>
      </c>
      <c r="E12" s="103">
        <f>C12/C37</f>
        <v>0.05</v>
      </c>
    </row>
    <row r="13" spans="1:5" s="100" customFormat="1" ht="15.75">
      <c r="A13" s="101" t="s">
        <v>46</v>
      </c>
      <c r="B13" s="18" t="s">
        <v>47</v>
      </c>
      <c r="C13" s="102">
        <f>$C$37*0.02</f>
        <v>27.656250000000011</v>
      </c>
      <c r="D13" s="75">
        <v>2.9999999999999997E-4</v>
      </c>
      <c r="E13" s="103">
        <f>C13/C37</f>
        <v>0.02</v>
      </c>
    </row>
    <row r="14" spans="1:5" s="100" customFormat="1" ht="15.75">
      <c r="A14" s="101" t="s">
        <v>136</v>
      </c>
      <c r="B14" s="18" t="s">
        <v>48</v>
      </c>
      <c r="C14" s="102">
        <f>$C$37*0.03</f>
        <v>41.484375000000014</v>
      </c>
      <c r="D14" s="75">
        <v>8.8999999999999999E-3</v>
      </c>
      <c r="E14" s="103">
        <f>C14/C37</f>
        <v>0.03</v>
      </c>
    </row>
    <row r="15" spans="1:5" s="100" customFormat="1" ht="15.75">
      <c r="A15" s="101" t="s">
        <v>139</v>
      </c>
      <c r="B15" s="18" t="s">
        <v>50</v>
      </c>
      <c r="C15" s="102">
        <f>$C$37*0</f>
        <v>0</v>
      </c>
      <c r="D15" s="54">
        <v>2.9999999999999997E-4</v>
      </c>
      <c r="E15" s="103">
        <f>C15/C37</f>
        <v>0</v>
      </c>
    </row>
    <row r="16" spans="1:5" s="100" customFormat="1" ht="15.75">
      <c r="A16" s="101" t="s">
        <v>147</v>
      </c>
      <c r="B16" s="18"/>
      <c r="C16" s="102">
        <f>$C$37*0.12</f>
        <v>165.93750000000006</v>
      </c>
      <c r="D16" s="54">
        <v>1.9400000000000001E-2</v>
      </c>
      <c r="E16" s="103">
        <f>C16/C37</f>
        <v>0.12</v>
      </c>
    </row>
    <row r="17" spans="1:4" s="75" customFormat="1" ht="15.75">
      <c r="A17" s="91" t="s">
        <v>145</v>
      </c>
      <c r="B17" s="97" t="s">
        <v>51</v>
      </c>
      <c r="C17" s="98">
        <f>C18+C19+C20++C21+C22+C23+C24</f>
        <v>41.484375000000014</v>
      </c>
      <c r="D17" s="104">
        <v>6.0033512999999997E-2</v>
      </c>
    </row>
    <row r="18" spans="1:4" s="75" customFormat="1" ht="15.75">
      <c r="A18" s="101" t="s">
        <v>40</v>
      </c>
      <c r="B18" s="18" t="s">
        <v>52</v>
      </c>
      <c r="C18" s="102">
        <f>$C$37*0</f>
        <v>0</v>
      </c>
      <c r="D18" s="54"/>
    </row>
    <row r="19" spans="1:4" ht="15.75">
      <c r="A19" s="101" t="s">
        <v>42</v>
      </c>
      <c r="B19" s="18" t="s">
        <v>53</v>
      </c>
      <c r="C19" s="102">
        <f>$C$37*0</f>
        <v>0</v>
      </c>
      <c r="D19" s="54">
        <v>6.9999999999999999E-4</v>
      </c>
    </row>
    <row r="20" spans="1:4" ht="15.75">
      <c r="A20" s="101" t="s">
        <v>30</v>
      </c>
      <c r="B20" s="18" t="s">
        <v>54</v>
      </c>
      <c r="C20" s="102">
        <f>$C$37*0.03</f>
        <v>41.484375000000014</v>
      </c>
      <c r="D20" s="54">
        <v>2.3E-3</v>
      </c>
    </row>
    <row r="21" spans="1:4" ht="15.75">
      <c r="A21" s="101" t="s">
        <v>3</v>
      </c>
      <c r="B21" s="18" t="s">
        <v>55</v>
      </c>
      <c r="C21" s="102">
        <f>$C$37*0</f>
        <v>0</v>
      </c>
      <c r="D21" s="54">
        <v>5.7000000000000002E-2</v>
      </c>
    </row>
    <row r="22" spans="1:4" ht="15.75">
      <c r="A22" s="101" t="s">
        <v>46</v>
      </c>
      <c r="B22" s="18" t="s">
        <v>56</v>
      </c>
      <c r="C22" s="102">
        <f>$C$37*0</f>
        <v>0</v>
      </c>
      <c r="D22" s="75"/>
    </row>
    <row r="23" spans="1:4" ht="15.75">
      <c r="A23" s="101" t="s">
        <v>136</v>
      </c>
      <c r="B23" s="18" t="s">
        <v>57</v>
      </c>
      <c r="C23" s="102">
        <f>$C$37*0</f>
        <v>0</v>
      </c>
      <c r="D23" s="75">
        <v>1E-4</v>
      </c>
    </row>
    <row r="24" spans="1:4" ht="15.75">
      <c r="A24" s="101" t="s">
        <v>49</v>
      </c>
      <c r="B24" s="18" t="s">
        <v>58</v>
      </c>
      <c r="C24" s="102">
        <f>$C$37*0</f>
        <v>0</v>
      </c>
      <c r="D24" s="75"/>
    </row>
    <row r="25" spans="1:4" ht="15.75">
      <c r="A25" s="101"/>
      <c r="B25" s="18"/>
      <c r="C25" s="102"/>
      <c r="D25" s="75"/>
    </row>
    <row r="26" spans="1:4" s="75" customFormat="1" ht="15.75">
      <c r="A26" s="91" t="s">
        <v>144</v>
      </c>
      <c r="B26" s="97" t="s">
        <v>59</v>
      </c>
      <c r="C26" s="98">
        <f>C27+C28+C29+C30+C31+C32+C33+C34</f>
        <v>497.81250000000017</v>
      </c>
      <c r="D26" s="105">
        <v>0.76639999999999997</v>
      </c>
    </row>
    <row r="27" spans="1:4" s="75" customFormat="1" ht="15.75">
      <c r="A27" s="101" t="s">
        <v>40</v>
      </c>
      <c r="B27" s="18" t="s">
        <v>60</v>
      </c>
      <c r="C27" s="102">
        <f>$C$37*0.1</f>
        <v>138.28125000000006</v>
      </c>
    </row>
    <row r="28" spans="1:4" s="75" customFormat="1" ht="15.75">
      <c r="A28" s="101" t="s">
        <v>42</v>
      </c>
      <c r="B28" s="18" t="s">
        <v>61</v>
      </c>
      <c r="C28" s="102">
        <f>$C$37*0.08</f>
        <v>110.62500000000004</v>
      </c>
      <c r="D28" s="75">
        <v>1E-4</v>
      </c>
    </row>
    <row r="29" spans="1:4" s="75" customFormat="1" ht="15.75">
      <c r="A29" s="101" t="s">
        <v>108</v>
      </c>
      <c r="B29" s="18" t="s">
        <v>62</v>
      </c>
      <c r="C29" s="102">
        <f>$C$37*0.09</f>
        <v>124.45312500000004</v>
      </c>
      <c r="D29" s="75">
        <v>1.14E-2</v>
      </c>
    </row>
    <row r="30" spans="1:4" s="75" customFormat="1" ht="15.75">
      <c r="A30" s="101" t="s">
        <v>3</v>
      </c>
      <c r="B30" s="18" t="s">
        <v>63</v>
      </c>
      <c r="C30" s="102">
        <f>$C$37*0.04</f>
        <v>55.312500000000021</v>
      </c>
      <c r="D30" s="106">
        <v>0.25509999999999999</v>
      </c>
    </row>
    <row r="31" spans="1:4" s="75" customFormat="1" ht="15.75">
      <c r="A31" s="101" t="s">
        <v>46</v>
      </c>
      <c r="B31" s="18" t="s">
        <v>64</v>
      </c>
      <c r="C31" s="102">
        <f>$C$37*0.02</f>
        <v>27.656250000000011</v>
      </c>
      <c r="D31" s="106"/>
    </row>
    <row r="32" spans="1:4" s="75" customFormat="1" ht="15.75">
      <c r="A32" s="101" t="s">
        <v>136</v>
      </c>
      <c r="B32" s="18" t="s">
        <v>65</v>
      </c>
      <c r="C32" s="102">
        <f>$C$37*0.03</f>
        <v>41.484375000000014</v>
      </c>
      <c r="D32" s="75">
        <v>2.3E-2</v>
      </c>
    </row>
    <row r="33" spans="1:6" s="75" customFormat="1" ht="15.75">
      <c r="A33" s="101" t="s">
        <v>49</v>
      </c>
      <c r="B33" s="18" t="s">
        <v>66</v>
      </c>
      <c r="C33" s="102">
        <f>$C$37*0</f>
        <v>0</v>
      </c>
      <c r="D33" s="75">
        <v>0.47610000000000002</v>
      </c>
    </row>
    <row r="34" spans="1:6" s="75" customFormat="1" ht="15.75">
      <c r="A34" s="101" t="s">
        <v>138</v>
      </c>
      <c r="B34" s="18" t="s">
        <v>140</v>
      </c>
      <c r="C34" s="102">
        <v>0</v>
      </c>
      <c r="D34" s="75">
        <v>6.9999999999999999E-4</v>
      </c>
    </row>
    <row r="35" spans="1:6" s="75" customFormat="1" ht="15.75">
      <c r="A35" s="91" t="s">
        <v>38</v>
      </c>
      <c r="B35" s="97" t="s">
        <v>67</v>
      </c>
      <c r="C35" s="107">
        <f>C8+C17+C26</f>
        <v>1382.8125000000005</v>
      </c>
      <c r="D35" s="105">
        <v>1</v>
      </c>
      <c r="E35" s="106"/>
    </row>
    <row r="36" spans="1:6" s="75" customFormat="1" ht="15.75">
      <c r="A36" s="108"/>
      <c r="B36" s="18"/>
      <c r="C36" s="95"/>
      <c r="E36" s="106"/>
    </row>
    <row r="37" spans="1:6" s="75" customFormat="1" ht="15.75">
      <c r="A37" s="109" t="s">
        <v>68</v>
      </c>
      <c r="B37" s="18" t="s">
        <v>69</v>
      </c>
      <c r="C37" s="98">
        <f>'Desglose Salario'!J29</f>
        <v>1382.8125000000005</v>
      </c>
    </row>
    <row r="38" spans="1:6" s="75" customFormat="1" ht="15.75">
      <c r="A38" s="109"/>
      <c r="B38" s="18"/>
      <c r="C38" s="95"/>
      <c r="E38" s="384" t="s">
        <v>132</v>
      </c>
      <c r="F38" s="385"/>
    </row>
    <row r="39" spans="1:6" s="75" customFormat="1" ht="15.75">
      <c r="A39" s="109" t="s">
        <v>70</v>
      </c>
      <c r="B39" s="18" t="s">
        <v>71</v>
      </c>
      <c r="C39" s="98">
        <f>C8/C37</f>
        <v>0.61</v>
      </c>
      <c r="E39" s="386"/>
      <c r="F39" s="387"/>
    </row>
    <row r="40" spans="1:6" s="75" customFormat="1" ht="15.75" customHeight="1">
      <c r="A40" s="109" t="s">
        <v>72</v>
      </c>
      <c r="B40" s="18" t="s">
        <v>73</v>
      </c>
      <c r="C40" s="98">
        <f>C17/C37</f>
        <v>0.03</v>
      </c>
      <c r="E40" s="386"/>
      <c r="F40" s="387"/>
    </row>
    <row r="41" spans="1:6" s="75" customFormat="1" ht="15.75">
      <c r="A41" s="109" t="s">
        <v>74</v>
      </c>
      <c r="B41" s="18" t="s">
        <v>75</v>
      </c>
      <c r="C41" s="98">
        <f>C26/C37</f>
        <v>0.36</v>
      </c>
      <c r="E41" s="388"/>
      <c r="F41" s="389"/>
    </row>
    <row r="42" spans="1:6" s="75" customFormat="1" ht="15.75">
      <c r="A42" s="109"/>
      <c r="B42" s="18"/>
      <c r="C42" s="110">
        <f>SUM(C39:C41)</f>
        <v>1</v>
      </c>
      <c r="E42" s="111"/>
      <c r="F42" s="112">
        <v>1</v>
      </c>
    </row>
    <row r="43" spans="1:6">
      <c r="A43" s="390" t="s">
        <v>119</v>
      </c>
      <c r="B43" s="390"/>
      <c r="C43" s="391" t="s">
        <v>134</v>
      </c>
    </row>
    <row r="44" spans="1:6">
      <c r="A44" s="390"/>
      <c r="B44" s="390"/>
      <c r="C44" s="391"/>
    </row>
    <row r="45" spans="1:6">
      <c r="A45" s="390" t="s">
        <v>120</v>
      </c>
      <c r="B45" s="390"/>
      <c r="C45" s="391" t="s">
        <v>134</v>
      </c>
    </row>
    <row r="46" spans="1:6">
      <c r="A46" s="390"/>
      <c r="B46" s="390"/>
      <c r="C46" s="391"/>
    </row>
  </sheetData>
  <mergeCells count="8">
    <mergeCell ref="A1:C2"/>
    <mergeCell ref="A6:A7"/>
    <mergeCell ref="B6:B7"/>
    <mergeCell ref="E38:F41"/>
    <mergeCell ref="A45:B46"/>
    <mergeCell ref="A43:B44"/>
    <mergeCell ref="C43:C44"/>
    <mergeCell ref="C45:C46"/>
  </mergeCells>
  <pageMargins left="0.70866141732283472" right="0.70866141732283472" top="0.74803149606299213" bottom="0.74803149606299213" header="0.31496062992125984" footer="0.31496062992125984"/>
  <pageSetup paperSize="9" scale="7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33"/>
  <sheetViews>
    <sheetView topLeftCell="A7" workbookViewId="0">
      <selection activeCell="I19" sqref="I19"/>
    </sheetView>
  </sheetViews>
  <sheetFormatPr baseColWidth="10" defaultColWidth="9" defaultRowHeight="15"/>
  <cols>
    <col min="1" max="1" width="27" customWidth="1"/>
    <col min="2" max="2" width="66.140625" customWidth="1"/>
    <col min="3" max="3" width="15.140625" customWidth="1"/>
    <col min="4" max="5" width="10"/>
    <col min="6" max="6" width="14.85546875" customWidth="1"/>
    <col min="7" max="7" width="10"/>
    <col min="8" max="8" width="3.7109375" hidden="1"/>
    <col min="9" max="9" width="14.42578125" customWidth="1"/>
    <col min="10" max="10" width="14.7109375" customWidth="1"/>
    <col min="11" max="256" width="10" customWidth="1"/>
  </cols>
  <sheetData>
    <row r="1" spans="1:20" ht="18.75" customHeight="1">
      <c r="A1" s="411" t="s">
        <v>110</v>
      </c>
      <c r="B1" s="412"/>
      <c r="C1" s="412"/>
      <c r="D1" s="412"/>
      <c r="E1" s="412"/>
      <c r="F1" s="412"/>
      <c r="G1" s="413"/>
      <c r="H1" s="404" t="s">
        <v>84</v>
      </c>
      <c r="I1" s="405"/>
      <c r="J1" s="406"/>
    </row>
    <row r="2" spans="1:20" ht="15.75" customHeight="1">
      <c r="A2" s="414"/>
      <c r="B2" s="415"/>
      <c r="C2" s="415"/>
      <c r="D2" s="415"/>
      <c r="E2" s="415"/>
      <c r="F2" s="415"/>
      <c r="G2" s="416"/>
      <c r="H2" s="407"/>
      <c r="I2" s="408"/>
      <c r="J2" s="409"/>
    </row>
    <row r="3" spans="1:20">
      <c r="A3" s="394"/>
      <c r="B3" s="394"/>
      <c r="C3" s="394"/>
      <c r="D3" s="394"/>
      <c r="E3" s="394"/>
      <c r="F3" s="394"/>
      <c r="G3" s="394"/>
      <c r="H3" s="394"/>
      <c r="I3" s="394"/>
      <c r="J3" s="394"/>
    </row>
    <row r="4" spans="1:20" ht="18.75">
      <c r="A4" s="395" t="s">
        <v>129</v>
      </c>
      <c r="B4" s="395"/>
      <c r="C4" s="395"/>
      <c r="D4" s="395"/>
      <c r="E4" s="395" t="s">
        <v>185</v>
      </c>
      <c r="F4" s="395"/>
      <c r="G4" s="395"/>
      <c r="H4" s="395"/>
      <c r="I4" s="395"/>
      <c r="J4" s="395"/>
    </row>
    <row r="5" spans="1:20" ht="24.75" customHeight="1">
      <c r="A5" s="402" t="s">
        <v>131</v>
      </c>
      <c r="B5" s="402"/>
      <c r="C5" s="402"/>
      <c r="D5" s="402"/>
      <c r="E5" s="402"/>
      <c r="F5" s="402"/>
      <c r="G5" s="402"/>
      <c r="H5" s="402"/>
      <c r="I5" s="402"/>
      <c r="J5" s="402"/>
    </row>
    <row r="6" spans="1:20">
      <c r="A6" s="402" t="s">
        <v>130</v>
      </c>
      <c r="B6" s="402"/>
      <c r="C6" s="402"/>
      <c r="D6" s="402"/>
      <c r="E6" s="402"/>
      <c r="F6" s="402"/>
      <c r="G6" s="402"/>
      <c r="H6" s="402"/>
      <c r="I6" s="402"/>
      <c r="J6" s="402"/>
    </row>
    <row r="7" spans="1:20">
      <c r="A7" s="402"/>
      <c r="B7" s="402"/>
      <c r="C7" s="402"/>
      <c r="D7" s="402"/>
      <c r="E7" s="402"/>
      <c r="F7" s="402"/>
      <c r="G7" s="402"/>
      <c r="H7" s="402"/>
      <c r="I7" s="402"/>
      <c r="J7" s="402"/>
    </row>
    <row r="8" spans="1:20" ht="21" customHeight="1">
      <c r="A8" s="402" t="s">
        <v>83</v>
      </c>
      <c r="B8" s="402"/>
      <c r="C8" s="402"/>
      <c r="D8" s="402"/>
      <c r="E8" s="402"/>
      <c r="F8" s="402"/>
      <c r="G8" s="402"/>
      <c r="H8" s="402"/>
      <c r="I8" s="402"/>
      <c r="J8" s="402"/>
    </row>
    <row r="9" spans="1:20" ht="63">
      <c r="A9" s="417" t="s">
        <v>22</v>
      </c>
      <c r="B9" s="418"/>
      <c r="C9" s="113" t="s">
        <v>23</v>
      </c>
      <c r="D9" s="113" t="s">
        <v>24</v>
      </c>
      <c r="E9" s="114" t="s">
        <v>82</v>
      </c>
      <c r="F9" s="114" t="s">
        <v>25</v>
      </c>
      <c r="G9" s="410" t="s">
        <v>26</v>
      </c>
      <c r="H9" s="410"/>
      <c r="I9" s="114" t="s">
        <v>27</v>
      </c>
      <c r="J9" s="113" t="s">
        <v>28</v>
      </c>
    </row>
    <row r="10" spans="1:20">
      <c r="A10" s="115">
        <v>1</v>
      </c>
      <c r="B10" s="115">
        <v>2</v>
      </c>
      <c r="C10" s="116">
        <v>2</v>
      </c>
      <c r="D10" s="117">
        <v>3</v>
      </c>
      <c r="E10" s="118">
        <v>4</v>
      </c>
      <c r="F10" s="118">
        <v>5</v>
      </c>
      <c r="G10" s="392">
        <v>6</v>
      </c>
      <c r="H10" s="393"/>
      <c r="I10" s="118">
        <v>7</v>
      </c>
      <c r="J10" s="119">
        <v>8</v>
      </c>
    </row>
    <row r="11" spans="1:20" ht="15" customHeight="1">
      <c r="A11" s="175" t="s">
        <v>266</v>
      </c>
      <c r="B11" s="176" t="s">
        <v>197</v>
      </c>
      <c r="C11" s="177">
        <v>1</v>
      </c>
      <c r="D11" s="178" t="s">
        <v>156</v>
      </c>
      <c r="E11" s="178"/>
      <c r="F11" s="179">
        <v>156.25</v>
      </c>
      <c r="G11" s="180"/>
      <c r="H11" s="121" t="e">
        <f>A11*(D11+E11)*G11</f>
        <v>#VALUE!</v>
      </c>
      <c r="I11" s="122">
        <v>0.15</v>
      </c>
      <c r="J11" s="123">
        <f>C11*(F11+G11)*I11</f>
        <v>23.4375</v>
      </c>
    </row>
    <row r="12" spans="1:20" ht="15" customHeight="1">
      <c r="A12" s="175"/>
      <c r="B12" s="176" t="s">
        <v>158</v>
      </c>
      <c r="C12" s="177">
        <v>1</v>
      </c>
      <c r="D12" s="178" t="s">
        <v>156</v>
      </c>
      <c r="E12" s="178"/>
      <c r="F12" s="179">
        <v>104.16666666666667</v>
      </c>
      <c r="G12" s="180"/>
      <c r="H12" s="124" t="e">
        <f t="shared" ref="H12:H17" si="0">A12*(D12+E12)*G12</f>
        <v>#VALUE!</v>
      </c>
      <c r="I12" s="122">
        <v>0.15</v>
      </c>
      <c r="J12" s="123">
        <f t="shared" ref="J12:J20" si="1">C12*(F12+G12)*I12</f>
        <v>15.625</v>
      </c>
    </row>
    <row r="13" spans="1:20" ht="15" customHeight="1">
      <c r="A13" s="175" t="s">
        <v>157</v>
      </c>
      <c r="B13" s="176" t="s">
        <v>158</v>
      </c>
      <c r="C13" s="177">
        <v>1</v>
      </c>
      <c r="D13" s="178" t="s">
        <v>156</v>
      </c>
      <c r="E13" s="178"/>
      <c r="F13" s="179">
        <v>104.16666666666667</v>
      </c>
      <c r="G13" s="180"/>
      <c r="H13" s="124" t="e">
        <f t="shared" si="0"/>
        <v>#VALUE!</v>
      </c>
      <c r="I13" s="122">
        <v>0.15</v>
      </c>
      <c r="J13" s="123">
        <f t="shared" si="1"/>
        <v>15.625</v>
      </c>
      <c r="O13" t="s">
        <v>198</v>
      </c>
    </row>
    <row r="14" spans="1:20" ht="15" customHeight="1">
      <c r="A14" s="175" t="s">
        <v>159</v>
      </c>
      <c r="B14" s="176" t="s">
        <v>158</v>
      </c>
      <c r="C14" s="177">
        <v>1</v>
      </c>
      <c r="D14" s="178" t="s">
        <v>156</v>
      </c>
      <c r="E14" s="178"/>
      <c r="F14" s="179">
        <v>156.25</v>
      </c>
      <c r="G14" s="180"/>
      <c r="H14" s="124" t="e">
        <f t="shared" si="0"/>
        <v>#VALUE!</v>
      </c>
      <c r="I14" s="122">
        <v>0.5</v>
      </c>
      <c r="J14" s="123">
        <f t="shared" si="1"/>
        <v>78.125</v>
      </c>
      <c r="O14">
        <v>20000</v>
      </c>
      <c r="P14">
        <v>30000</v>
      </c>
      <c r="Q14">
        <v>15000</v>
      </c>
      <c r="R14">
        <v>50000</v>
      </c>
      <c r="S14">
        <v>10000</v>
      </c>
      <c r="T14">
        <v>6500</v>
      </c>
    </row>
    <row r="15" spans="1:20" ht="15" customHeight="1">
      <c r="A15" s="175" t="s">
        <v>199</v>
      </c>
      <c r="B15" s="176" t="s">
        <v>267</v>
      </c>
      <c r="C15" s="177">
        <v>1</v>
      </c>
      <c r="D15" s="178" t="s">
        <v>156</v>
      </c>
      <c r="E15" s="178"/>
      <c r="F15" s="179">
        <v>78.125</v>
      </c>
      <c r="G15" s="180"/>
      <c r="H15" s="124" t="e">
        <f t="shared" si="0"/>
        <v>#VALUE!</v>
      </c>
      <c r="I15" s="122">
        <v>0.5</v>
      </c>
      <c r="J15" s="123">
        <f t="shared" si="1"/>
        <v>39.0625</v>
      </c>
      <c r="N15" t="s">
        <v>200</v>
      </c>
      <c r="O15">
        <v>24</v>
      </c>
      <c r="P15">
        <v>24</v>
      </c>
      <c r="Q15">
        <v>24</v>
      </c>
      <c r="R15">
        <v>24</v>
      </c>
      <c r="S15">
        <v>24</v>
      </c>
      <c r="T15">
        <v>24</v>
      </c>
    </row>
    <row r="16" spans="1:20" ht="15" customHeight="1">
      <c r="A16" s="175" t="s">
        <v>160</v>
      </c>
      <c r="B16" s="176" t="s">
        <v>197</v>
      </c>
      <c r="C16" s="177">
        <v>1</v>
      </c>
      <c r="D16" s="178" t="s">
        <v>156</v>
      </c>
      <c r="E16" s="178"/>
      <c r="F16" s="179">
        <v>156.25</v>
      </c>
      <c r="G16" s="180"/>
      <c r="H16" s="124" t="e">
        <f t="shared" si="0"/>
        <v>#VALUE!</v>
      </c>
      <c r="I16" s="122">
        <v>1.05</v>
      </c>
      <c r="J16" s="123">
        <f t="shared" si="1"/>
        <v>164.0625</v>
      </c>
      <c r="N16" t="s">
        <v>201</v>
      </c>
      <c r="O16">
        <f>O15*8</f>
        <v>192</v>
      </c>
      <c r="P16">
        <f>P15*8</f>
        <v>192</v>
      </c>
      <c r="Q16">
        <f t="shared" ref="Q16:T16" si="2">Q15*8</f>
        <v>192</v>
      </c>
      <c r="R16">
        <f t="shared" si="2"/>
        <v>192</v>
      </c>
      <c r="S16">
        <f t="shared" si="2"/>
        <v>192</v>
      </c>
      <c r="T16">
        <f t="shared" si="2"/>
        <v>192</v>
      </c>
    </row>
    <row r="17" spans="1:20" ht="15" customHeight="1">
      <c r="A17" s="175"/>
      <c r="B17" s="176" t="s">
        <v>158</v>
      </c>
      <c r="C17" s="177">
        <v>2</v>
      </c>
      <c r="D17" s="178" t="s">
        <v>156</v>
      </c>
      <c r="E17" s="178"/>
      <c r="F17" s="179">
        <v>104.16666666666667</v>
      </c>
      <c r="G17" s="180"/>
      <c r="H17" s="125" t="e">
        <f t="shared" si="0"/>
        <v>#VALUE!</v>
      </c>
      <c r="I17" s="122">
        <v>1.05</v>
      </c>
      <c r="J17" s="123">
        <f t="shared" si="1"/>
        <v>218.75000000000003</v>
      </c>
      <c r="N17" t="s">
        <v>202</v>
      </c>
      <c r="O17">
        <f>O14/O16</f>
        <v>104.16666666666667</v>
      </c>
      <c r="P17">
        <f>P14/P16</f>
        <v>156.25</v>
      </c>
      <c r="Q17">
        <f t="shared" ref="Q17:T17" si="3">Q14/Q16</f>
        <v>78.125</v>
      </c>
      <c r="R17">
        <f t="shared" si="3"/>
        <v>260.41666666666669</v>
      </c>
      <c r="S17">
        <f t="shared" si="3"/>
        <v>52.083333333333336</v>
      </c>
      <c r="T17">
        <f t="shared" si="3"/>
        <v>33.854166666666664</v>
      </c>
    </row>
    <row r="18" spans="1:20" ht="15" customHeight="1">
      <c r="A18" s="175" t="s">
        <v>268</v>
      </c>
      <c r="B18" s="176" t="s">
        <v>273</v>
      </c>
      <c r="C18" s="177">
        <v>2</v>
      </c>
      <c r="D18" s="178" t="s">
        <v>203</v>
      </c>
      <c r="E18" s="178"/>
      <c r="F18" s="179">
        <v>260.41666666666669</v>
      </c>
      <c r="G18" s="180"/>
      <c r="H18" s="124"/>
      <c r="I18" s="122">
        <v>1</v>
      </c>
      <c r="J18" s="123">
        <f t="shared" si="1"/>
        <v>520.83333333333337</v>
      </c>
    </row>
    <row r="19" spans="1:20">
      <c r="A19" s="126"/>
      <c r="B19" s="265" t="s">
        <v>274</v>
      </c>
      <c r="C19" s="127">
        <v>1</v>
      </c>
      <c r="D19" s="128" t="s">
        <v>156</v>
      </c>
      <c r="E19" s="128"/>
      <c r="F19" s="128">
        <v>52.083333333333336</v>
      </c>
      <c r="G19" s="125"/>
      <c r="H19" s="125"/>
      <c r="I19" s="122">
        <v>2</v>
      </c>
      <c r="J19" s="123">
        <f t="shared" si="1"/>
        <v>104.16666666666667</v>
      </c>
    </row>
    <row r="20" spans="1:20">
      <c r="A20" s="129"/>
      <c r="B20" s="129" t="s">
        <v>275</v>
      </c>
      <c r="C20" s="127">
        <v>3</v>
      </c>
      <c r="D20" s="128" t="s">
        <v>156</v>
      </c>
      <c r="E20" s="128"/>
      <c r="F20" s="128">
        <v>33.8541666666667</v>
      </c>
      <c r="G20" s="130"/>
      <c r="H20" s="124"/>
      <c r="I20" s="122">
        <v>2</v>
      </c>
      <c r="J20" s="123">
        <f t="shared" si="1"/>
        <v>203.1250000000002</v>
      </c>
    </row>
    <row r="21" spans="1:20">
      <c r="A21" s="126"/>
      <c r="B21" s="126"/>
      <c r="C21" s="127"/>
      <c r="D21" s="128"/>
      <c r="E21" s="128"/>
      <c r="F21" s="128"/>
      <c r="G21" s="125"/>
      <c r="H21" s="125"/>
      <c r="I21" s="125"/>
      <c r="J21" s="123"/>
    </row>
    <row r="22" spans="1:20">
      <c r="A22" s="129"/>
      <c r="B22" s="129"/>
      <c r="C22" s="127"/>
      <c r="D22" s="128"/>
      <c r="E22" s="128"/>
      <c r="F22" s="128"/>
      <c r="G22" s="130" t="s">
        <v>2</v>
      </c>
      <c r="H22" s="124"/>
      <c r="I22" s="125">
        <f>SUM(I11:I18)</f>
        <v>4.55</v>
      </c>
      <c r="J22" s="123"/>
    </row>
    <row r="23" spans="1:20">
      <c r="A23" s="126"/>
      <c r="B23" s="126"/>
      <c r="C23" s="127"/>
      <c r="D23" s="128"/>
      <c r="E23" s="128"/>
      <c r="F23" s="128"/>
      <c r="G23" s="125"/>
      <c r="H23" s="125"/>
      <c r="I23" s="125"/>
      <c r="J23" s="123"/>
    </row>
    <row r="24" spans="1:20">
      <c r="A24" s="129"/>
      <c r="B24" s="129"/>
      <c r="C24" s="127"/>
      <c r="D24" s="128"/>
      <c r="E24" s="128"/>
      <c r="F24" s="128"/>
      <c r="G24" s="125"/>
      <c r="H24" s="125"/>
      <c r="I24" s="125"/>
      <c r="J24" s="123"/>
    </row>
    <row r="25" spans="1:20">
      <c r="A25" s="126"/>
      <c r="B25" s="126"/>
      <c r="C25" s="127"/>
      <c r="D25" s="128"/>
      <c r="E25" s="128"/>
      <c r="F25" s="128"/>
      <c r="G25" s="125"/>
      <c r="H25" s="125"/>
      <c r="I25" s="125"/>
      <c r="J25" s="123"/>
    </row>
    <row r="26" spans="1:20">
      <c r="A26" s="129"/>
      <c r="B26" s="129"/>
      <c r="C26" s="127"/>
      <c r="D26" s="128"/>
      <c r="E26" s="128"/>
      <c r="F26" s="128"/>
      <c r="G26" s="125"/>
      <c r="H26" s="125"/>
      <c r="I26" s="125"/>
      <c r="J26" s="123"/>
    </row>
    <row r="27" spans="1:20">
      <c r="A27" s="131"/>
      <c r="B27" s="131"/>
      <c r="C27" s="120"/>
      <c r="D27" s="127"/>
      <c r="E27" s="128"/>
      <c r="F27" s="128"/>
      <c r="G27" s="125"/>
      <c r="H27" s="125"/>
      <c r="I27" s="125"/>
      <c r="J27" s="123"/>
    </row>
    <row r="28" spans="1:20">
      <c r="A28" s="132"/>
      <c r="B28" s="132"/>
      <c r="C28" s="133"/>
      <c r="D28" s="134"/>
      <c r="E28" s="134"/>
      <c r="F28" s="134"/>
      <c r="G28" s="135"/>
      <c r="H28" s="135"/>
      <c r="I28" s="135"/>
      <c r="J28" s="136"/>
    </row>
    <row r="29" spans="1:20">
      <c r="A29" s="137"/>
      <c r="B29" s="138"/>
      <c r="C29" s="139"/>
      <c r="D29" s="140"/>
      <c r="E29" s="140"/>
      <c r="F29" s="140"/>
      <c r="G29" s="141"/>
      <c r="H29" s="141"/>
      <c r="I29" s="142"/>
      <c r="J29" s="143">
        <f>SUM(J11:J20)</f>
        <v>1382.8125000000005</v>
      </c>
    </row>
    <row r="30" spans="1:20">
      <c r="A30" s="398" t="s">
        <v>20</v>
      </c>
      <c r="B30" s="398"/>
      <c r="C30" s="398"/>
      <c r="D30" s="398"/>
      <c r="E30" s="400"/>
      <c r="F30" s="400"/>
      <c r="G30" s="400"/>
      <c r="H30" s="401"/>
      <c r="I30" s="401"/>
      <c r="J30" s="401"/>
    </row>
    <row r="31" spans="1:20" ht="15.75">
      <c r="A31" s="402" t="s">
        <v>121</v>
      </c>
      <c r="B31" s="402"/>
      <c r="C31" s="402"/>
      <c r="D31" s="402"/>
      <c r="E31" s="397"/>
      <c r="F31" s="397"/>
      <c r="G31" s="397"/>
      <c r="H31" s="397"/>
      <c r="I31" s="397"/>
      <c r="J31" s="144"/>
    </row>
    <row r="32" spans="1:20" ht="16.5" customHeight="1">
      <c r="A32" s="402" t="s">
        <v>18</v>
      </c>
      <c r="B32" s="402"/>
      <c r="C32" s="402"/>
      <c r="D32" s="402"/>
      <c r="E32" s="397"/>
      <c r="F32" s="397"/>
      <c r="G32" s="397"/>
      <c r="H32" s="399"/>
      <c r="I32" s="399"/>
      <c r="J32" s="399"/>
    </row>
    <row r="33" spans="1:10" ht="15.75">
      <c r="A33" s="396" t="s">
        <v>122</v>
      </c>
      <c r="B33" s="396"/>
      <c r="C33" s="396"/>
      <c r="D33" s="396"/>
      <c r="E33" s="403"/>
      <c r="F33" s="403"/>
      <c r="G33" s="403"/>
      <c r="H33" s="403"/>
      <c r="I33" s="403"/>
      <c r="J33" s="145"/>
    </row>
  </sheetData>
  <mergeCells count="22">
    <mergeCell ref="H1:J2"/>
    <mergeCell ref="A8:J8"/>
    <mergeCell ref="G9:H9"/>
    <mergeCell ref="A1:G2"/>
    <mergeCell ref="A9:B9"/>
    <mergeCell ref="H3:J3"/>
    <mergeCell ref="A5:J5"/>
    <mergeCell ref="A6:J7"/>
    <mergeCell ref="G10:H10"/>
    <mergeCell ref="A3:G3"/>
    <mergeCell ref="A4:D4"/>
    <mergeCell ref="E4:J4"/>
    <mergeCell ref="A33:D33"/>
    <mergeCell ref="H31:I31"/>
    <mergeCell ref="A30:D30"/>
    <mergeCell ref="H32:J32"/>
    <mergeCell ref="E30:G31"/>
    <mergeCell ref="H30:J30"/>
    <mergeCell ref="A32:D32"/>
    <mergeCell ref="E32:G33"/>
    <mergeCell ref="H33:I33"/>
    <mergeCell ref="A31:D31"/>
  </mergeCells>
  <pageMargins left="0.70866141732283472" right="0.70866141732283472" top="0.74803149606299213" bottom="0.74803149606299213" header="0.31496062992125984" footer="0.31496062992125984"/>
  <pageSetup paperSize="9" scale="5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>
      <selection activeCell="D9" sqref="D9"/>
    </sheetView>
  </sheetViews>
  <sheetFormatPr baseColWidth="10" defaultColWidth="9" defaultRowHeight="15"/>
  <cols>
    <col min="1" max="1" width="36.42578125" customWidth="1"/>
    <col min="2" max="255" width="10"/>
    <col min="256" max="256" width="36.42578125" customWidth="1"/>
  </cols>
  <sheetData>
    <row r="1" spans="1:4" ht="15.75">
      <c r="A1" s="423" t="s">
        <v>89</v>
      </c>
      <c r="B1" s="423"/>
      <c r="C1" s="423"/>
      <c r="D1" s="423"/>
    </row>
    <row r="2" spans="1:4" ht="15.75" customHeight="1">
      <c r="A2" s="146"/>
    </row>
    <row r="4" spans="1:4">
      <c r="A4" s="424" t="s">
        <v>90</v>
      </c>
      <c r="B4" s="425"/>
      <c r="C4" s="425"/>
      <c r="D4" s="426"/>
    </row>
    <row r="5" spans="1:4">
      <c r="A5" s="427" t="s">
        <v>91</v>
      </c>
      <c r="B5" s="428"/>
      <c r="C5" s="428"/>
      <c r="D5" s="429"/>
    </row>
    <row r="6" spans="1:4" ht="16.5" customHeight="1">
      <c r="A6" s="430" t="s">
        <v>92</v>
      </c>
      <c r="B6" s="431" t="s">
        <v>93</v>
      </c>
      <c r="C6" s="431"/>
      <c r="D6" s="432"/>
    </row>
    <row r="7" spans="1:4" s="147" customFormat="1" ht="28.5" customHeight="1">
      <c r="A7" s="430"/>
      <c r="B7" s="148" t="s">
        <v>94</v>
      </c>
      <c r="C7" s="149" t="s">
        <v>105</v>
      </c>
      <c r="D7" s="150" t="s">
        <v>38</v>
      </c>
    </row>
    <row r="8" spans="1:4" s="151" customFormat="1" ht="14.25">
      <c r="A8" s="152" t="s">
        <v>177</v>
      </c>
      <c r="B8" s="153"/>
      <c r="C8" s="153"/>
      <c r="D8" s="154">
        <v>0</v>
      </c>
    </row>
    <row r="9" spans="1:4">
      <c r="A9" s="155"/>
      <c r="B9" s="156"/>
      <c r="C9" s="156"/>
      <c r="D9" s="154"/>
    </row>
    <row r="10" spans="1:4">
      <c r="A10" s="155"/>
      <c r="B10" s="156"/>
      <c r="C10" s="156"/>
      <c r="D10" s="157"/>
    </row>
    <row r="11" spans="1:4">
      <c r="A11" s="155"/>
      <c r="B11" s="156"/>
      <c r="C11" s="156"/>
      <c r="D11" s="157"/>
    </row>
    <row r="12" spans="1:4">
      <c r="A12" s="155"/>
      <c r="B12" s="156"/>
      <c r="C12" s="156"/>
      <c r="D12" s="157"/>
    </row>
    <row r="13" spans="1:4">
      <c r="A13" s="155"/>
      <c r="B13" s="156"/>
      <c r="C13" s="156"/>
      <c r="D13" s="157"/>
    </row>
    <row r="14" spans="1:4">
      <c r="A14" s="155"/>
      <c r="B14" s="156"/>
      <c r="C14" s="156"/>
      <c r="D14" s="157"/>
    </row>
    <row r="15" spans="1:4">
      <c r="A15" s="155"/>
      <c r="B15" s="156"/>
      <c r="C15" s="156"/>
      <c r="D15" s="157"/>
    </row>
    <row r="16" spans="1:4">
      <c r="A16" s="155"/>
      <c r="B16" s="156"/>
      <c r="C16" s="156"/>
      <c r="D16" s="157"/>
    </row>
    <row r="17" spans="1:4">
      <c r="A17" s="155"/>
      <c r="B17" s="156"/>
      <c r="C17" s="156"/>
      <c r="D17" s="157"/>
    </row>
    <row r="18" spans="1:4">
      <c r="A18" s="158"/>
      <c r="B18" s="156"/>
      <c r="C18" s="156"/>
      <c r="D18" s="159"/>
    </row>
    <row r="19" spans="1:4">
      <c r="A19" s="155"/>
      <c r="B19" s="156"/>
      <c r="C19" s="156"/>
      <c r="D19" s="159"/>
    </row>
    <row r="20" spans="1:4">
      <c r="A20" s="155"/>
      <c r="B20" s="156"/>
      <c r="C20" s="156"/>
      <c r="D20" s="157"/>
    </row>
    <row r="21" spans="1:4">
      <c r="A21" s="155"/>
      <c r="B21" s="156"/>
      <c r="C21" s="156"/>
      <c r="D21" s="160"/>
    </row>
    <row r="22" spans="1:4">
      <c r="A22" s="155"/>
      <c r="B22" s="156"/>
      <c r="C22" s="156"/>
      <c r="D22" s="160"/>
    </row>
    <row r="23" spans="1:4">
      <c r="A23" s="155"/>
      <c r="B23" s="156"/>
      <c r="C23" s="156"/>
      <c r="D23" s="160"/>
    </row>
    <row r="24" spans="1:4">
      <c r="A24" s="155"/>
      <c r="B24" s="156"/>
      <c r="C24" s="156"/>
      <c r="D24" s="160"/>
    </row>
    <row r="25" spans="1:4">
      <c r="A25" s="155"/>
      <c r="B25" s="156"/>
      <c r="C25" s="156"/>
      <c r="D25" s="160"/>
    </row>
    <row r="26" spans="1:4">
      <c r="A26" s="155"/>
      <c r="B26" s="156"/>
      <c r="C26" s="156"/>
      <c r="D26" s="160"/>
    </row>
    <row r="27" spans="1:4">
      <c r="A27" s="155"/>
      <c r="B27" s="156"/>
      <c r="C27" s="156"/>
      <c r="D27" s="160"/>
    </row>
    <row r="28" spans="1:4">
      <c r="A28" s="155"/>
      <c r="B28" s="156"/>
      <c r="C28" s="156"/>
      <c r="D28" s="160"/>
    </row>
    <row r="29" spans="1:4">
      <c r="A29" s="161" t="s">
        <v>29</v>
      </c>
      <c r="B29" s="160">
        <f t="shared" ref="B29:D29" si="0">B8+B18</f>
        <v>0</v>
      </c>
      <c r="C29" s="160">
        <f t="shared" si="0"/>
        <v>0</v>
      </c>
      <c r="D29" s="162">
        <f t="shared" si="0"/>
        <v>0</v>
      </c>
    </row>
    <row r="30" spans="1:4" s="163" customFormat="1" ht="27.75" customHeight="1">
      <c r="A30" s="164" t="s">
        <v>95</v>
      </c>
      <c r="B30" s="165"/>
      <c r="C30" s="419" t="s">
        <v>96</v>
      </c>
      <c r="D30" s="420"/>
    </row>
    <row r="31" spans="1:4" s="163" customFormat="1" ht="28.5" customHeight="1">
      <c r="A31" s="166" t="s">
        <v>97</v>
      </c>
      <c r="B31" s="167"/>
      <c r="C31" s="421" t="s">
        <v>96</v>
      </c>
      <c r="D31" s="422"/>
    </row>
  </sheetData>
  <mergeCells count="7">
    <mergeCell ref="C30:D30"/>
    <mergeCell ref="C31:D31"/>
    <mergeCell ref="A1:D1"/>
    <mergeCell ref="A4:D4"/>
    <mergeCell ref="A5:D5"/>
    <mergeCell ref="A6:A7"/>
    <mergeCell ref="B6:D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7"/>
  <sheetViews>
    <sheetView workbookViewId="0">
      <selection activeCell="B7" sqref="B7"/>
    </sheetView>
  </sheetViews>
  <sheetFormatPr baseColWidth="10" defaultColWidth="9" defaultRowHeight="15"/>
  <cols>
    <col min="1" max="1" width="30.7109375" customWidth="1"/>
    <col min="2" max="2" width="13.5703125" customWidth="1"/>
    <col min="3" max="256" width="10" customWidth="1"/>
  </cols>
  <sheetData>
    <row r="2" spans="1:7">
      <c r="A2" s="437" t="s">
        <v>106</v>
      </c>
      <c r="B2" s="437"/>
    </row>
    <row r="3" spans="1:7">
      <c r="A3" s="433" t="s">
        <v>87</v>
      </c>
      <c r="B3" s="435" t="s">
        <v>29</v>
      </c>
    </row>
    <row r="4" spans="1:7">
      <c r="A4" s="434"/>
      <c r="B4" s="436"/>
      <c r="G4" s="245" t="s">
        <v>174</v>
      </c>
    </row>
    <row r="5" spans="1:7" ht="15.75">
      <c r="A5" s="168" t="s">
        <v>141</v>
      </c>
      <c r="B5" s="169">
        <f>450.1/39968</f>
        <v>1.1261509207365893E-2</v>
      </c>
      <c r="C5" s="170">
        <f>450.1/39968.56</f>
        <v>1.1261351422217864E-2</v>
      </c>
      <c r="G5" s="187">
        <f>'Ficha de costo (Resumen)'!F41</f>
        <v>5.2080000000000002</v>
      </c>
    </row>
    <row r="6" spans="1:7" ht="15.75">
      <c r="A6" s="168" t="s">
        <v>271</v>
      </c>
      <c r="B6" s="169">
        <v>0</v>
      </c>
      <c r="C6" s="171"/>
    </row>
    <row r="7" spans="1:7" ht="15.75">
      <c r="A7" s="168" t="s">
        <v>272</v>
      </c>
      <c r="B7" s="169">
        <f>1355*'Ficha de costo (Resumen)'!F41</f>
        <v>7056.84</v>
      </c>
      <c r="C7" s="171"/>
    </row>
    <row r="8" spans="1:7" ht="15.75">
      <c r="A8" s="168"/>
      <c r="B8" s="169"/>
      <c r="C8" s="171"/>
    </row>
    <row r="9" spans="1:7">
      <c r="A9" s="171"/>
      <c r="B9" s="171"/>
      <c r="C9" s="171"/>
    </row>
    <row r="10" spans="1:7">
      <c r="A10" s="171"/>
      <c r="B10" s="171"/>
      <c r="C10" s="171"/>
    </row>
    <row r="11" spans="1:7">
      <c r="A11" s="171"/>
      <c r="B11" s="171"/>
      <c r="C11" s="171"/>
    </row>
    <row r="12" spans="1:7">
      <c r="A12" s="171"/>
      <c r="B12" s="171"/>
      <c r="C12" s="171"/>
    </row>
    <row r="13" spans="1:7">
      <c r="A13" s="172" t="s">
        <v>88</v>
      </c>
      <c r="B13" s="170">
        <f>SUM(B5:B12)</f>
        <v>7056.8512615092077</v>
      </c>
      <c r="C13" s="173">
        <f>SUM(C5:C12)</f>
        <v>1.1261351422217864E-2</v>
      </c>
    </row>
    <row r="14" spans="1:7">
      <c r="A14" s="171"/>
      <c r="B14" s="171"/>
    </row>
    <row r="15" spans="1:7">
      <c r="A15" s="171"/>
      <c r="B15" s="171"/>
    </row>
    <row r="16" spans="1:7">
      <c r="A16" s="171"/>
      <c r="B16" s="171"/>
    </row>
    <row r="17" spans="1:2">
      <c r="A17" s="174"/>
      <c r="B17" s="174"/>
    </row>
  </sheetData>
  <mergeCells count="3">
    <mergeCell ref="A3:A4"/>
    <mergeCell ref="B3:B4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IMAGEN</vt:lpstr>
      <vt:lpstr>Ficha de costo (Resumen)</vt:lpstr>
      <vt:lpstr>Consumo Material</vt:lpstr>
      <vt:lpstr>Salarios Directos </vt:lpstr>
      <vt:lpstr>Coeficientes(Gastos Indirectos)</vt:lpstr>
      <vt:lpstr>Desglose Salario</vt:lpstr>
      <vt:lpstr>Gastos Financieros </vt:lpstr>
      <vt:lpstr>Otros Gastos Directos </vt:lpstr>
      <vt:lpstr>'Desglose Salario'!Área_de_impresión</vt:lpstr>
    </vt:vector>
  </TitlesOfParts>
  <Company>TuSoft.org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Hernández Delgado</dc:creator>
  <cp:lastModifiedBy>Administrador</cp:lastModifiedBy>
  <dcterms:created xsi:type="dcterms:W3CDTF">2017-05-25T18:35:26Z</dcterms:created>
  <dcterms:modified xsi:type="dcterms:W3CDTF">2026-02-05T08:39:41Z</dcterms:modified>
</cp:coreProperties>
</file>